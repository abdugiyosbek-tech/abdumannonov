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cf44535e2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7316f65b1774ff1"/>
    <x:sheet xmlns:r="http://schemas.openxmlformats.org/officeDocument/2006/relationships" name="4_haftalik_plan" sheetId="2" r:id="R7a48f4f96bf64aab"/>
    <x:sheet xmlns:r="http://schemas.openxmlformats.org/officeDocument/2006/relationships" name="Mashq_detallari" sheetId="3" r:id="Rd0423539bde445b5"/>
    <x:sheet xmlns:r="http://schemas.openxmlformats.org/officeDocument/2006/relationships" name="Ovqat_makro" sheetId="4" r:id="R50610cfaea3b4c9e"/>
    <x:sheet xmlns:r="http://schemas.openxmlformats.org/officeDocument/2006/relationships" name="Progress_nazorat" sheetId="5" r:id="Rad96f0f5306a4888"/>
    <x:sheet xmlns:r="http://schemas.openxmlformats.org/officeDocument/2006/relationships" name="Manbalar" sheetId="6" r:id="Rcbb769e2ed7c4379"/>
    <x:sheet xmlns:r="http://schemas.openxmlformats.org/officeDocument/2006/relationships" name="Ovqatlanish" sheetId="7" r:id="R7426e67741964a33"/>
    <x:sheet xmlns:r="http://schemas.openxmlformats.org/officeDocument/2006/relationships" name="Portal_sozlamalari" sheetId="8" r:id="R467414c65e79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.mm.dd"/>
    <x:numFmt numFmtId="202" formatCode="0"/>
    <x:numFmt numFmtId="203" formatCode="0.0"/>
    <x:numFmt numFmtId="204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i/>
      <x:sz val="11"/>
      <x:color rgb="FF1F4E78"/>
      <x:name val="Carlito"/>
    </x:font>
    <x:font>
      <x:b/>
      <x:sz val="12"/>
      <x:color rgb="FFFFFFFF"/>
      <x:name val="Carlito"/>
    </x:font>
    <x:font>
      <x:b/>
      <x:sz val="13"/>
      <x:color rgb="FFFFFF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28D7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E3A8A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1F4E78"/>
      </x:patternFill>
    </x:fill>
    <x:fill>
      <x:patternFill patternType="solid">
        <x:fgColor rgb="FFF4F7FB"/>
      </x:patternFill>
    </x:fill>
    <x:fill>
      <x:patternFill patternType="solid">
        <x:fgColor rgb="FFE7E1E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0F172A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0253A"/>
      </x:patternFill>
    </x:fill>
    <x:fill>
      <x:patternFill patternType="solid">
        <x:fgColor rgb="FF167DB6"/>
      </x:patternFill>
    </x:fill>
  </x:fills>
  <x:borders count="2">
    <x:border/>
    <x:border/>
  </x:borders>
  <x:cellStyleXfs count="1">
    <x:xf numFmtId="0" fontId="0" fillId="0" borderId="0"/>
  </x:cellStyleXfs>
  <x:cellXfs count="2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 applyAlignment="1">
      <x:alignment horizontal="center" wrapText="1"/>
    </x:xf>
    <x:xf numFmtId="201" fontId="0" fillId="8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horizontal="center"/>
    </x:xf>
    <x:xf numFmtId="201" fontId="0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horizontal="center"/>
    </x:xf>
    <x:xf numFmtId="202" fontId="0" fillId="10" borderId="0" xfId="0" applyNumberFormat="1" applyFont="1" applyFill="1" applyBorder="1" applyAlignment="1">
      <x:alignment horizontal="center" wrapText="1"/>
    </x:xf>
    <x:xf numFmtId="202" fontId="0" fillId="10" borderId="0" xfId="0" applyNumberFormat="1" applyFont="1" applyFill="1" applyBorder="1" applyAlignment="1">
      <x:alignment horizontal="center"/>
    </x:xf>
    <x:xf numFmtId="203" fontId="0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left" wrapText="1"/>
    </x:xf>
    <x:xf numFmtId="0" fontId="0" fillId="13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2" fontId="0" fillId="1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204" fontId="0" fillId="0" borderId="0" xfId="0" applyNumberFormat="1" applyFont="1" applyFill="1" applyBorder="1"/>
    <x:xf numFmtId="204" fontId="3" fillId="7" borderId="0" xfId="0" applyNumberFormat="1" applyFont="1" applyFill="1" applyBorder="1"/>
    <x:xf numFmtId="204" fontId="0" fillId="13" borderId="0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horizontal="center"/>
    </x:xf>
    <x:xf numFmtId="0" fontId="3" fillId="15" borderId="0" xfId="0" applyNumberFormat="1" applyFont="1" applyFill="1" applyBorder="1" applyAlignment="1">
      <x:alignment horizontal="center"/>
    </x:xf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6" fillId="1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wrapText="1"/>
    </x:xf>
    <x:xf numFmtId="0" fontId="3" fillId="7" xfId="0" applyNumberFormat="1" applyFont="1" applyFill="1" applyBorder="0" applyAlignment="1">
      <x:alignment horizontal="center" vertical="center" wrapText="1"/>
    </x:xf>
    <x:xf numFmtId="0" fontId="3" fillId="15" xfId="0" applyNumberFormat="1" applyFont="1" applyFill="1" applyBorder="0" applyAlignment="1">
      <x:alignment horizontal="center" vertical="center" wrapText="1"/>
    </x:xf>
    <x:xf numFmtId="0" fontId="0" fillId="8" xfId="0" applyNumberFormat="1" applyFont="1" applyFill="1" applyBorder="0" applyAlignment="1">
      <x:alignment horizontal="center" wrapText="1"/>
    </x:xf>
    <x:xf numFmtId="201" fontId="0" fillId="8" xfId="0" applyNumberFormat="1" applyFont="1" applyFill="1" applyBorder="0" applyAlignment="1">
      <x:alignment horizontal="center" wrapText="1"/>
    </x:xf>
    <x:xf numFmtId="0" fontId="0" fillId="9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horizontal="left" wrapText="1"/>
    </x:xf>
    <x:xf numFmtId="202" fontId="0" fillId="10" xfId="0" applyNumberFormat="1" applyFont="1" applyFill="1" applyBorder="0" applyAlignment="1">
      <x:alignment horizontal="center" wrapText="1"/>
    </x:xf>
    <x:xf numFmtId="202" fontId="0" fillId="10" xfId="0" applyNumberFormat="1" applyFont="1" applyFill="1" applyBorder="0" applyAlignment="1">
      <x:alignment horizontal="center"/>
    </x:xf>
    <x:xf numFmtId="203" fontId="0" fillId="11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horizontal="center"/>
    </x:xf>
    <x:xf numFmtId="0" fontId="0" fillId="12" xfId="0" applyNumberFormat="1" applyFont="1" applyFill="1" applyBorder="0" applyAlignment="1">
      <x:alignment horizontal="left" wrapText="1"/>
    </x:xf>
    <x:xf numFmtId="204" fontId="0" fillId="0" xfId="0" applyNumberFormat="1" applyFont="1" applyFill="1" applyBorder="0"/>
    <x:xf numFmtId="204" fontId="3" fillId="7" xfId="0" applyNumberFormat="1" applyFont="1" applyFill="1" applyBorder="0"/>
    <x:xf numFmtId="0" fontId="0" fillId="0" xfId="0" applyNumberFormat="1" applyFont="1" applyFill="1" applyBorder="0"/>
    <x:xf numFmtId="204" fontId="0" fillId="13" xfId="0" applyNumberFormat="1" applyFont="1" applyFill="1" applyBorder="0"/>
    <x:xf numFmtId="0" fontId="0" fillId="8" xfId="0" applyNumberFormat="1" applyFont="1" applyFill="1" applyBorder="0" applyAlignment="1">
      <x:alignment horizontal="center"/>
    </x:xf>
    <x:xf numFmtId="201" fontId="0" fillId="8" xfId="0" applyNumberFormat="1" applyFont="1" applyFill="1" applyBorder="0" applyAlignment="1">
      <x:alignment horizontal="center"/>
    </x:xf>
    <x:xf numFmtId="0" fontId="0" fillId="9" xfId="0" applyNumberFormat="1" applyFont="1" applyFill="1" applyBorder="0" applyAlignment="1">
      <x:alignment horizontal="center"/>
    </x:xf>
    <x:xf numFmtId="0" fontId="3" fillId="15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3" fillId="17" xfId="0" applyNumberFormat="1" applyFont="1" applyFill="1" applyBorder="0" applyAlignment="1">
      <x:alignment horizontal="center" vertical="center" wrapText="1"/>
    </x:xf>
    <x:xf numFmtId="203" fontId="0" fillId="18" xfId="0" applyNumberFormat="1" applyFont="1" applyFill="1" applyBorder="0" applyAlignment="1">
      <x:alignment horizontal="center"/>
    </x:xf>
    <x:xf numFmtId="203" fontId="7" fillId="18" xfId="0" applyNumberFormat="1" applyFont="1" applyFill="1" applyBorder="0" applyAlignment="1">
      <x:alignment horizontal="center"/>
    </x:xf>
    <x:xf numFmtId="203" fontId="7" fillId="18" xfId="0" applyNumberFormat="1" applyFont="1" applyFill="1" applyBorder="0" applyAlignment="1">
      <x:alignment horizontal="center" vertical="center"/>
    </x:xf>
    <x:xf numFmtId="204" fontId="0" fillId="18" xfId="0" applyNumberFormat="1" applyFont="1" applyFill="1" applyBorder="0"/>
    <x:xf numFmtId="204" fontId="3" fillId="18" xfId="0" applyNumberFormat="1" applyFont="1" applyFill="1" applyBorder="0"/>
    <x:xf numFmtId="204" fontId="7" fillId="18" xfId="0" applyNumberFormat="1" applyFont="1" applyFill="1" applyBorder="0"/>
    <x:xf numFmtId="204" fontId="7" fillId="18" xfId="0" applyNumberFormat="1" applyFont="1" applyFill="1" applyBorder="0" applyAlignment="1">
      <x:alignment horizontal="center"/>
    </x:xf>
    <x:xf numFmtId="204" fontId="7" fillId="18" xfId="0" applyNumberFormat="1" applyFont="1" applyFill="1" applyBorder="0" applyAlignment="1">
      <x:alignment horizontal="center" vertical="center"/>
    </x:xf>
    <x:xf numFmtId="204" fontId="3" fillId="19" xfId="0" applyNumberFormat="1" applyFont="1" applyFill="1" applyBorder="0"/>
    <x:xf numFmtId="204" fontId="0" fillId="19" xfId="0" applyNumberFormat="1" applyFont="1" applyFill="1" applyBorder="0"/>
    <x:xf numFmtId="0" fontId="0" fillId="19" xfId="0" applyNumberFormat="1" applyFont="1" applyFill="1" applyBorder="0"/>
    <x:xf numFmtId="204" fontId="3" fillId="19" xfId="0" applyNumberFormat="1" applyFont="1" applyFill="1" applyBorder="0" applyAlignment="1">
      <x:alignment horizontal="center"/>
    </x:xf>
    <x:xf numFmtId="204" fontId="0" fillId="19" xfId="0" applyNumberFormat="1" applyFont="1" applyFill="1" applyBorder="0" applyAlignment="1">
      <x:alignment horizontal="center"/>
    </x:xf>
    <x:xf numFmtId="0" fontId="0" fillId="19" xfId="0" applyNumberFormat="1" applyFont="1" applyFill="1" applyBorder="0" applyAlignment="1">
      <x:alignment horizontal="center"/>
    </x:xf>
    <x:xf numFmtId="204" fontId="3" fillId="19" xfId="0" applyNumberFormat="1" applyFont="1" applyFill="1" applyBorder="0" applyAlignment="1">
      <x:alignment horizontal="center" vertical="center"/>
    </x:xf>
    <x:xf numFmtId="204" fontId="0" fillId="19" xfId="0" applyNumberFormat="1" applyFont="1" applyFill="1" applyBorder="0" applyAlignment="1">
      <x:alignment horizontal="center" vertical="center"/>
    </x:xf>
    <x:xf numFmtId="0" fontId="0" fillId="19" xfId="0" applyNumberFormat="1" applyFont="1" applyFill="1" applyBorder="0" applyAlignment="1">
      <x:alignment horizontal="center" vertical="center"/>
    </x:xf>
    <x:xf numFmtId="203" fontId="7" fillId="18" xfId="0" applyNumberFormat="1" applyFont="1" applyFill="1" applyBorder="0" applyAlignment="1">
      <x:alignment horizontal="center" vertical="center" wrapText="1"/>
    </x:xf>
    <x:xf numFmtId="203" fontId="0" fillId="11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horizontal="center" wrapText="1"/>
    </x:xf>
    <x:xf numFmtId="204" fontId="7" fillId="18" xfId="0" applyNumberFormat="1" applyFont="1" applyFill="1" applyBorder="0" applyAlignment="1">
      <x:alignment horizontal="center" vertical="center" wrapText="1"/>
    </x:xf>
    <x:xf numFmtId="204" fontId="3" fillId="19" xfId="0" applyNumberFormat="1" applyFont="1" applyFill="1" applyBorder="0" applyAlignment="1">
      <x:alignment horizontal="center" vertical="center" wrapText="1"/>
    </x:xf>
    <x:xf numFmtId="204" fontId="0" fillId="19" xfId="0" applyNumberFormat="1" applyFont="1" applyFill="1" applyBorder="0" applyAlignment="1">
      <x:alignment horizontal="center" vertical="center" wrapText="1"/>
    </x:xf>
    <x:xf numFmtId="0" fontId="0" fillId="19" xfId="0" applyNumberFormat="1" applyFont="1" applyFill="1" applyBorder="0" applyAlignment="1">
      <x:alignment horizontal="center" vertical="center" wrapText="1"/>
    </x:xf>
    <x:xf numFmtId="202" fontId="7" fillId="18" xfId="0" applyNumberFormat="1" applyFont="1" applyFill="1" applyBorder="0" applyAlignment="1">
      <x:alignment horizontal="center" vertical="center" wrapText="1"/>
    </x:xf>
    <x:xf numFmtId="202" fontId="3" fillId="19" xfId="0" applyNumberFormat="1" applyFont="1" applyFill="1" applyBorder="0" applyAlignment="1">
      <x:alignment horizontal="center" vertical="center" wrapText="1"/>
    </x:xf>
    <x:xf numFmtId="202" fontId="0" fillId="19" xfId="0" applyNumberFormat="1" applyFont="1" applyFill="1" applyBorder="0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6" fillId="17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wrapText="1"/>
    </x:xf>
    <x:xf numFmtId="204" fontId="0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204" fontId="8" fillId="19" borderId="0" xfId="0" applyNumberFormat="1" applyFont="1" applyFill="1" applyBorder="1" applyAlignment="1">
      <x:alignment wrapText="1"/>
    </x:xf>
    <x:xf numFmtId="0" fontId="8" fillId="19" borderId="0" xfId="0" applyNumberFormat="1" applyFont="1" applyFill="1" applyBorder="1" applyAlignment="1">
      <x:alignment wrapText="1"/>
    </x:xf>
    <x:xf numFmtId="204" fontId="8" fillId="19" borderId="0" xfId="0" applyNumberFormat="1" applyFont="1" applyFill="1" applyBorder="1" applyAlignment="1">
      <x:alignment horizontal="center" wrapText="1"/>
    </x:xf>
    <x:xf numFmtId="0" fontId="8" fillId="19" borderId="0" xfId="0" applyNumberFormat="1" applyFont="1" applyFill="1" applyBorder="1" applyAlignment="1">
      <x:alignment horizontal="center" wrapText="1"/>
    </x:xf>
    <x:xf numFmtId="203" fontId="0" fillId="10" xfId="0" applyNumberFormat="1" applyFont="1" applyFill="1" applyBorder="0" applyAlignment="1">
      <x:alignment horizontal="center"/>
    </x:xf>
    <x:xf numFmtId="203" fontId="7" fillId="10" xfId="0" applyNumberFormat="1" applyFont="1" applyFill="1" applyBorder="0" applyAlignment="1">
      <x:alignment horizontal="center"/>
    </x:xf>
    <x:xf numFmtId="203" fontId="7" fillId="10" xfId="0" applyNumberFormat="1" applyFont="1" applyFill="1" applyBorder="0" applyAlignment="1">
      <x:alignment horizontal="center" vertical="center"/>
    </x:xf>
    <x:xf numFmtId="204" fontId="0" fillId="10" xfId="0" applyNumberFormat="1" applyFont="1" applyFill="1" applyBorder="0"/>
    <x:xf numFmtId="204" fontId="3" fillId="10" xfId="0" applyNumberFormat="1" applyFont="1" applyFill="1" applyBorder="0"/>
    <x:xf numFmtId="204" fontId="7" fillId="10" xfId="0" applyNumberFormat="1" applyFont="1" applyFill="1" applyBorder="0"/>
    <x:xf numFmtId="204" fontId="7" fillId="10" xfId="0" applyNumberFormat="1" applyFont="1" applyFill="1" applyBorder="0" applyAlignment="1">
      <x:alignment horizontal="center"/>
    </x:xf>
    <x:xf numFmtId="204" fontId="7" fillId="10" xfId="0" applyNumberFormat="1" applyFont="1" applyFill="1" applyBorder="0" applyAlignment="1">
      <x:alignment horizontal="center" vertical="center"/>
    </x:xf>
    <x:xf numFmtId="204" fontId="3" fillId="11" xfId="0" applyNumberFormat="1" applyFont="1" applyFill="1" applyBorder="0"/>
    <x:xf numFmtId="204" fontId="0" fillId="11" xfId="0" applyNumberFormat="1" applyFont="1" applyFill="1" applyBorder="0"/>
    <x:xf numFmtId="0" fontId="0" fillId="11" xfId="0" applyNumberFormat="1" applyFont="1" applyFill="1" applyBorder="0"/>
    <x:xf numFmtId="204" fontId="3" fillId="11" xfId="0" applyNumberFormat="1" applyFont="1" applyFill="1" applyBorder="0" applyAlignment="1">
      <x:alignment horizontal="center"/>
    </x:xf>
    <x:xf numFmtId="204" fontId="0" fillId="11" xfId="0" applyNumberFormat="1" applyFont="1" applyFill="1" applyBorder="0" applyAlignment="1">
      <x:alignment horizontal="center"/>
    </x:xf>
    <x:xf numFmtId="0" fontId="0" fillId="11" xfId="0" applyNumberFormat="1" applyFont="1" applyFill="1" applyBorder="0" applyAlignment="1">
      <x:alignment horizontal="center"/>
    </x:xf>
    <x:xf numFmtId="204" fontId="3" fillId="11" xfId="0" applyNumberFormat="1" applyFont="1" applyFill="1" applyBorder="0" applyAlignment="1">
      <x:alignment horizontal="center" vertical="center"/>
    </x:xf>
    <x:xf numFmtId="204" fontId="0" fillId="11" xfId="0" applyNumberFormat="1" applyFont="1" applyFill="1" applyBorder="0" applyAlignment="1">
      <x:alignment horizontal="center" vertical="center"/>
    </x:xf>
    <x:xf numFmtId="0" fontId="0" fillId="11" xfId="0" applyNumberFormat="1" applyFont="1" applyFill="1" applyBorder="0" applyAlignment="1">
      <x:alignment horizontal="center" vertical="center"/>
    </x:xf>
    <x:xf numFmtId="203" fontId="7" fillId="10" xfId="0" applyNumberFormat="1" applyFont="1" applyFill="1" applyBorder="0" applyAlignment="1">
      <x:alignment horizontal="center" vertical="center" wrapText="1"/>
    </x:xf>
    <x:xf numFmtId="204" fontId="7" fillId="10" xfId="0" applyNumberFormat="1" applyFont="1" applyFill="1" applyBorder="0" applyAlignment="1">
      <x:alignment horizontal="center" vertical="center" wrapText="1"/>
    </x:xf>
    <x:xf numFmtId="204" fontId="3" fillId="11" xfId="0" applyNumberFormat="1" applyFont="1" applyFill="1" applyBorder="0" applyAlignment="1">
      <x:alignment horizontal="center" vertical="center" wrapText="1"/>
    </x:xf>
    <x:xf numFmtId="204" fontId="0" fillId="11" xfId="0" applyNumberFormat="1" applyFont="1" applyFill="1" applyBorder="0" applyAlignment="1">
      <x:alignment horizontal="center" vertical="center" wrapText="1"/>
    </x:xf>
    <x:xf numFmtId="0" fontId="0" fillId="11" xfId="0" applyNumberFormat="1" applyFont="1" applyFill="1" applyBorder="0" applyAlignment="1">
      <x:alignment horizontal="center" vertical="center" wrapText="1"/>
    </x:xf>
    <x:xf numFmtId="202" fontId="7" fillId="10" xfId="0" applyNumberFormat="1" applyFont="1" applyFill="1" applyBorder="0" applyAlignment="1">
      <x:alignment horizontal="center" vertical="center" wrapText="1"/>
    </x:xf>
    <x:xf numFmtId="202" fontId="3" fillId="11" xfId="0" applyNumberFormat="1" applyFont="1" applyFill="1" applyBorder="0" applyAlignment="1">
      <x:alignment horizontal="center" vertical="center" wrapText="1"/>
    </x:xf>
    <x:xf numFmtId="202" fontId="0" fillId="11" xfId="0" applyNumberFormat="1" applyFont="1" applyFill="1" applyBorder="0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wrapText="1"/>
    </x:xf>
    <x:xf numFmtId="204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204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204" fontId="8" fillId="11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horizontal="center"/>
    </x:xf>
    <x:xf numFmtId="0" fontId="3" fillId="22" borderId="0" xfId="0" applyNumberFormat="1" applyFont="1" applyFill="1" applyBorder="1" applyAlignment="1">
      <x:alignment horizontal="center" wrapText="1"/>
    </x:xf>
    <x:xf numFmtId="0" fontId="10" fillId="21" borderId="0" xfId="0" applyNumberFormat="1" applyFont="1" applyFill="1" applyBorder="1"/>
    <x:xf numFmtId="0" fontId="10" fillId="21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color rgb="FF006100"/>
      </x:font>
      <x:fill>
        <x:patternFill>
          <x:bgColor rgb="FFC6E0B4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  <x:color rgb="FF166534"/>
      </x:font>
      <x:fill>
        <x:patternFill>
          <x:bgColor rgb="FFBBF7D0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3e95048f64887" /><Relationship Type="http://schemas.openxmlformats.org/officeDocument/2006/relationships/theme" Target="/xl/theme/theme1.xml" Id="R34ca4ec932a04f61" /><Relationship Type="http://schemas.openxmlformats.org/officeDocument/2006/relationships/sharedStrings" Target="/xl/sharedStrings.xml" Id="R013d723f4f47467a" /><Relationship Type="http://schemas.openxmlformats.org/officeDocument/2006/relationships/worksheet" Target="/xl/worksheets/sheet1.xml" Id="R27316f65b1774ff1" /><Relationship Type="http://schemas.openxmlformats.org/officeDocument/2006/relationships/worksheet" Target="/xl/worksheets/sheet2.xml" Id="R7a48f4f96bf64aab" /><Relationship Type="http://schemas.openxmlformats.org/officeDocument/2006/relationships/worksheet" Target="/xl/worksheets/sheet3.xml" Id="Rd0423539bde445b5" /><Relationship Type="http://schemas.openxmlformats.org/officeDocument/2006/relationships/worksheet" Target="/xl/worksheets/sheet4.xml" Id="R50610cfaea3b4c9e" /><Relationship Type="http://schemas.openxmlformats.org/officeDocument/2006/relationships/worksheet" Target="/xl/worksheets/sheet5.xml" Id="Rad96f0f5306a4888" /><Relationship Type="http://schemas.openxmlformats.org/officeDocument/2006/relationships/worksheet" Target="/xl/worksheets/sheet6.xml" Id="Rcbb769e2ed7c4379" /><Relationship Type="http://schemas.openxmlformats.org/officeDocument/2006/relationships/worksheet" Target="/xl/worksheets/sheet7.xml" Id="R7426e67741964a33" /><Relationship Type="http://schemas.openxmlformats.org/officeDocument/2006/relationships/worksheet" Target="/xl/worksheets/sheet8.xml" Id="R467414c65e7947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ebc1bf95144cbb" /><Relationship Type="http://schemas.openxmlformats.org/officeDocument/2006/relationships/chart" Target="/xl/drawings/charts/chart2.xml" Id="R2972e691153348f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Kkal</c:v>
          </c:tx>
          <c:cat>
            <c:strRef>
              <c:f>'Ovqat_makro'!$A$2:$A$6</c:f>
              <c:strCache>
                <c:ptCount val="0"/>
              </c:strCache>
            </c:strRef>
          </c:cat>
          <c:val>
            <c:numRef>
              <c:f>'Ovqat_makro'!$B$2:$B$6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Kkal</c:v>
          </c:tx>
          <c:cat>
            <c:strRef>
              <c:f>'Ovqat_makro'!$A$2:$A$6</c:f>
              <c:strCache>
                <c:ptCount val="0"/>
              </c:strCache>
            </c:strRef>
          </c:cat>
          <c:val>
            <c:numRef>
              <c:f>'Ovqat_makro'!$B$2:$B$6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Oqsil (g)</c:v>
          </c:tx>
          <c:cat>
            <c:strRef>
              <c:f>'Ovqat_makro'!$A$2:$A$6</c:f>
              <c:strCache>
                <c:ptCount val="0"/>
              </c:strCache>
            </c:strRef>
          </c:cat>
          <c:val>
            <c:numRef>
              <c:f>'Ovqat_makro'!$C$2:$C$6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Uglevod (g)</c:v>
          </c:tx>
          <c:cat>
            <c:strRef>
              <c:f>'Ovqat_makro'!$A$2:$A$6</c:f>
              <c:strCache>
                <c:ptCount val="0"/>
              </c:strCache>
            </c:strRef>
          </c:cat>
          <c:val>
            <c:numRef>
              <c:f>'Ovqat_makro'!$D$2:$D$6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Yog‘ (g)</c:v>
          </c:tx>
          <c:cat>
            <c:strRef>
              <c:f>'Ovqat_makro'!$A$2:$A$6</c:f>
              <c:strCache>
                <c:ptCount val="0"/>
              </c:strCache>
            </c:strRef>
          </c:cat>
          <c:val>
            <c:numRef>
              <c:f>'Ovqat_makro'!$E$2:$E$6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ebc1bf95144cbb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72e691153348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aftalikPlanTable" displayName="HaftalikPlanTable" ref="A1:N29" headerRowCount="1">
  <x:tableColumns count="14">
    <x:tableColumn id="1" name="Hafta"/>
    <x:tableColumn id="2" name="Sana"/>
    <x:tableColumn id="3" name="Kun"/>
    <x:tableColumn id="4" name="Mashg‘ulot"/>
    <x:tableColumn id="5" name="Maqsad"/>
    <x:tableColumn id="6" name="Kkal"/>
    <x:tableColumn id="7" name="Oqsil (g)"/>
    <x:tableColumn id="8" name="Uglevod (g)"/>
    <x:tableColumn id="9" name="Yog‘ (g)"/>
    <x:tableColumn id="10" name="Suv (L)"/>
    <x:tableColumn id="11" name="Uyqu maqsadi"/>
    <x:tableColumn id="12" name="Status"/>
    <x:tableColumn id="13" name="Ovqatlanish izohi"/>
    <x:tableColumn id="14" name="Mashg‘ulot izohi"/>
  </x:tableColumns>
  <x:tableStyleInfo name="TableStyleMedium2" showRowStripes="1"/>
</x:table>
</file>

<file path=xl/tables/table2.xml><?xml version="1.0" encoding="utf-8"?>
<x:table xmlns:x="http://schemas.openxmlformats.org/spreadsheetml/2006/main" id="2" name="MashqDetallariTable" displayName="MashqDetallariTable" ref="A1:H20" headerRowCount="1">
  <x:tableColumns count="8">
    <x:tableColumn id="1" name="Kun turi"/>
    <x:tableColumn id="2" name="Mashq"/>
    <x:tableColumn id="3" name="Set × takror"/>
    <x:tableColumn id="4" name="Dam olish"/>
    <x:tableColumn id="5" name="Texnika/izoh"/>
    <x:tableColumn id="6" name="O‘z vazningiz / kg"/>
    <x:tableColumn id="7" name="Bajarildi"/>
    <x:tableColumn id="8" name="Izoh"/>
  </x:tableColumns>
  <x:tableStyleInfo name="TableStyleMedium2" showRowStripes="1"/>
</x:table>
</file>

<file path=xl/tables/table3.xml><?xml version="1.0" encoding="utf-8"?>
<x:table xmlns:x="http://schemas.openxmlformats.org/spreadsheetml/2006/main" id="3" name="MakroTable" displayName="MakroTable" ref="A1:G6" headerRowCount="1">
  <x:tableColumns count="7">
    <x:tableColumn id="1" name="Kun turi"/>
    <x:tableColumn id="2" name="Kkal"/>
    <x:tableColumn id="3" name="Oqsil (g)"/>
    <x:tableColumn id="4" name="Uglevod (g)"/>
    <x:tableColumn id="5" name="Yog‘ (g)"/>
    <x:tableColumn id="6" name="Qachon ishlatiladi"/>
    <x:tableColumn id="7" name="Ovqatlanish izohi"/>
  </x:tableColumns>
  <x:tableStyleInfo name="TableStyleMedium2" showRowStripes="1"/>
</x:table>
</file>

<file path=xl/tables/table4.xml><?xml version="1.0" encoding="utf-8"?>
<x:table xmlns:x="http://schemas.openxmlformats.org/spreadsheetml/2006/main" id="4" name="Progress30KunTable" displayName="Progress30KunTable" ref="A2:O32" headerRowCount="1">
  <x:tableColumns count="15">
    <x:tableColumn id="1" name="No"/>
    <x:tableColumn id="2" name="Sana"/>
    <x:tableColumn id="3" name="Hafta kuni"/>
    <x:tableColumn id="4" name="Hafta"/>
    <x:tableColumn id="5" name="Kun turi"/>
    <x:tableColumn id="6" name="Mashg‘ulot rejasi"/>
    <x:tableColumn id="7" name="Kkal"/>
    <x:tableColumn id="8" name="Oqsil (g)"/>
    <x:tableColumn id="9" name="Uglevod (g)"/>
    <x:tableColumn id="10" name="Yog‘ (g)"/>
    <x:tableColumn id="11" name="Suv (L)"/>
    <x:tableColumn id="12" name="Uyqu (soat)"/>
    <x:tableColumn id="13" name="Vazn (kg)"/>
    <x:tableColumn id="14" name="Bajarildi?"/>
    <x:tableColumn id="15" name="Qo‘shimcha izoh"/>
  </x:tableColumns>
  <x:tableStyleInfo name="TableStyleMedium2" showRowStripes="1"/>
</x:table>
</file>

<file path=xl/tables/table5.xml><?xml version="1.0" encoding="utf-8"?>
<x:table xmlns:x="http://schemas.openxmlformats.org/spreadsheetml/2006/main" id="5" name="OvqatlanishMakroTable" displayName="OvqatlanishMakroTable" ref="A2:H8" headerRowCount="1">
  <x:tableColumns count="8">
    <x:tableColumn id="1" name="Kun turi"/>
    <x:tableColumn id="2" name="Kkal"/>
    <x:tableColumn id="3" name="Oqsil (g)"/>
    <x:tableColumn id="4" name="Uglevod (g)"/>
    <x:tableColumn id="5" name="Yog‘ (g)"/>
    <x:tableColumn id="6" name="Qachon qo‘llash"/>
    <x:tableColumn id="7" name="Ovqatlanish namunasi"/>
    <x:tableColumn id="8" name="Izo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0e7aa9a1264a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247001676a43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fa1719543142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afe028040a49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a5280639724d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d87be041d9c47a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</x:cols>
  <x:sheetData>
    <x:row r="1" ht="19.200000762939453" hidden="0" customHeight="1">
      <x:c r="A1" s="4" t="str">
        <x:v>Zal + boks + suzish: 4 haftalik reja</x:v>
      </x:c>
    </x:row>
    <x:row r="2">
      <x:c r="A2" s="10" t="str">
        <x:v>Maqsad: 86 kg → 80 kg, ozish davomida mushakni saqlash va shakllantirish</x:v>
      </x:c>
    </x:row>
    <x:row r="4">
      <x:c r="A4" s="16" t="str">
        <x:v>Ko‘rsatkich</x:v>
      </x:c>
      <x:c r="B4" s="16" t="str">
        <x:v>Qiymat</x:v>
      </x:c>
      <x:c r="C4" s="16" t="str">
        <x:v>Izoh</x:v>
      </x:c>
      <x:c r="E4" s="16" t="str">
        <x:v>Asosiy qoida</x:v>
      </x:c>
      <x:c r="F4" s="16" t="str">
        <x:v>Amaliy bajarish</x:v>
      </x:c>
      <x:c r="G4" s="16"/>
      <x:c r="H4" s="16"/>
    </x:row>
    <x:row r="5">
      <x:c r="A5" s="21" t="str">
        <x:v>Bo‘y</x:v>
      </x:c>
      <x:c r="B5" s="21" t="str">
        <x:v>182 sm</x:v>
      </x:c>
      <x:c r="C5" s="21" t="str">
        <x:v>Siz kiritgan ma’lumot</x:v>
      </x:c>
      <x:c r="E5" s="25" t="str">
        <x:v>Progressive overload</x:v>
      </x:c>
      <x:c r="F5" s="25" t="str">
        <x:v>Agar 12 takrorni toza bajarsangiz, keyingi safar vaznni 2.5–5 kg oshiring.</x:v>
      </x:c>
      <x:c r="G5" s="25"/>
      <x:c r="H5" s="25"/>
    </x:row>
    <x:row r="6">
      <x:c r="A6" s="21" t="str">
        <x:v>Vazn</x:v>
      </x:c>
      <x:c r="B6" s="21" t="str">
        <x:v>86 kg</x:v>
      </x:c>
      <x:c r="C6" s="21" t="str">
        <x:v>Boshlang‘ich vazn</x:v>
      </x:c>
      <x:c r="E6" s="25" t="str">
        <x:v>Texnika</x:v>
      </x:c>
      <x:c r="F6" s="25" t="str">
        <x:v>Texnika buzilsa vazn oshirmang. Har mashqda harakat amplitudasini nazorat qiling.</x:v>
      </x:c>
      <x:c r="G6" s="25"/>
      <x:c r="H6" s="25"/>
    </x:row>
    <x:row r="7">
      <x:c r="A7" s="21" t="str">
        <x:v>Maqsad</x:v>
      </x:c>
      <x:c r="B7" s="21" t="str">
        <x:v>80 kg</x:v>
      </x:c>
      <x:c r="C7" s="21" t="str">
        <x:v>Sentyabrgacha</x:v>
      </x:c>
      <x:c r="E7" s="25" t="str">
        <x:v>Boks kunlari</x:v>
      </x:c>
      <x:c r="F7" s="25" t="str">
        <x:v>Uglevodni kamaytirmang; boks kuni energiya uchun 2450 kkal atrofida yuring.</x:v>
      </x:c>
      <x:c r="G7" s="25"/>
      <x:c r="H7" s="25"/>
    </x:row>
    <x:row r="8">
      <x:c r="A8" s="21" t="str">
        <x:v>Ish turi</x:v>
      </x:c>
      <x:c r="B8" s="21" t="str">
        <x:v>Ofisda o‘tirib ishlash</x:v>
      </x:c>
      <x:c r="C8" s="21" t="str">
        <x:v>Kun davomida qadam muhim</x:v>
      </x:c>
      <x:c r="E8" s="25" t="str">
        <x:v>Oyoq kuni</x:v>
      </x:c>
      <x:c r="F8" s="25" t="str">
        <x:v>Og‘ir oyoq kunidan keyin yakshanba upper/suzishni holatingizga qarab tanlang.</x:v>
      </x:c>
      <x:c r="G8" s="25"/>
      <x:c r="H8" s="25"/>
    </x:row>
    <x:row r="9">
      <x:c r="A9" s="21" t="str">
        <x:v>Uyqu</x:v>
      </x:c>
      <x:c r="B9" s="21" t="str">
        <x:v>6 soat</x:v>
      </x:c>
      <x:c r="C9" s="21" t="str">
        <x:v>Tiklanish uchun 7 soatga yaqinlashtirish yaxshi</x:v>
      </x:c>
      <x:c r="E9" s="25" t="str">
        <x:v>Izohlar</x:v>
      </x:c>
      <x:c r="F9" s="25" t="str">
        <x:v>4_haftalik_plan sahifasida 2 ta izoh ustuni bor: ovqatlanish va mashg‘ulot o‘zgarishlarini yozib boring.</x:v>
      </x:c>
      <x:c r="G9" s="25"/>
      <x:c r="H9" s="25"/>
    </x:row>
    <x:row r="10">
      <x:c r="A10" s="21" t="str">
        <x:v>Kreatin</x:v>
      </x:c>
      <x:c r="B10" s="21" t="str">
        <x:v>5 g/kun</x:v>
      </x:c>
      <x:c r="C10" s="21" t="str">
        <x:v>Har kuni, suv bilan</x:v>
      </x:c>
      <x:c r="E10" s="25"/>
      <x:c r="F10" s="25"/>
      <x:c r="G10" s="25"/>
      <x:c r="H10" s="25"/>
    </x:row>
    <x:row r="11">
      <x:c r="A11" s="21" t="str">
        <x:v>Mashg‘ulot</x:v>
      </x:c>
      <x:c r="B11" s="21" t="str">
        <x:v>2 boks + 1 gym + optional suzish/upper</x:v>
      </x:c>
      <x:c r="C11" s="21" t="str">
        <x:v>Asosiy haftalik tuzilma</x:v>
      </x:c>
    </x:row>
    <x:row r="13">
      <x:c r="A13" s="88" t="str">
        <x:v>Yangilandi: portal va Excel baholash formulalari birlashtirildi; qadam ustuni va dam/tiklanish formulasi qo‘shildi.</x:v>
      </x:c>
      <x:c r="B13" s="88" t="str"/>
      <x:c r="C13" s="88" t="str"/>
      <x:c r="D13" s="88" t="str"/>
      <x:c r="E13" s="88" t="str"/>
      <x:c r="F13" s="88" t="str"/>
    </x:row>
    <x:row r="15">
      <x:c r="A15" s="159" t="str">
        <x:v>Kunlik baholash dashboardi</x:v>
      </x:c>
      <x:c r="B15" s="159"/>
      <x:c r="C15" s="159"/>
      <x:c r="D15" s="160"/>
      <x:c r="E15" s="160"/>
      <x:c r="F15" s="160"/>
    </x:row>
    <x:row r="16">
      <x:c r="A16" s="96" t="str">
        <x:v>Ko‘rsatkich</x:v>
      </x:c>
      <x:c r="B16" s="96" t="str">
        <x:v>Formula</x:v>
      </x:c>
      <x:c r="C16" s="96" t="str">
        <x:v>Natija</x:v>
      </x:c>
      <x:c r="D16" s="100" t="str">
        <x:v>Baho mezoni</x:v>
      </x:c>
      <x:c r="E16" s="100" t="str">
        <x:v>Izoh</x:v>
      </x:c>
      <x:c r="F16" s="100"/>
    </x:row>
    <x:row r="17">
      <x:c r="A17" s="32" t="str">
        <x:v>Sport bajarilishi</x:v>
      </x:c>
      <x:c r="B17" s="32" t="str">
        <x:v>Progress_nazorat!P3:P32 o‘rtachasi</x:v>
      </x:c>
      <x:c r="C17" s="167" t="str">
        <x:f>IFERROR(ROUND(AVERAGE(Progress_nazorat!P3:P32),0)&amp;"%","")</x:f>
      </x:c>
      <x:c r="D17" s="32" t="str">
        <x:v>70%+ qoniqarli, 80%+ yaxshi</x:v>
      </x:c>
      <x:c r="E17" s="32" t="str">
        <x:v>Har kuni qo‘lda 0–100% kiriting</x:v>
      </x:c>
      <x:c r="F17" s="32"/>
    </x:row>
    <x:row r="18">
      <x:c r="A18" s="32" t="str">
        <x:v>Ovqatlanish amal qilish</x:v>
      </x:c>
      <x:c r="B18" s="32" t="str">
        <x:v>Progress_nazorat!Q3:Q32 o‘rtachasi</x:v>
      </x:c>
      <x:c r="C18" s="167" t="str">
        <x:f>IFERROR(ROUND(AVERAGE(Progress_nazorat!Q3:Q32),0)&amp;"%","")</x:f>
      </x:c>
      <x:c r="D18" s="32" t="str">
        <x:v>70%+ qoniqarli, 80%+ yaxshi</x:v>
      </x:c>
      <x:c r="E18" s="32" t="str">
        <x:v>Kkal/makro reja bo‘yicha</x:v>
      </x:c>
      <x:c r="F18" s="32"/>
    </x:row>
    <x:row r="19">
      <x:c r="A19" s="32" t="str">
        <x:v>Umumiy baho</x:v>
      </x:c>
      <x:c r="B19" s="32" t="str">
        <x:v>40% sport/faollik + 35% ovqat + 15% uyqu + 10% suv</x:v>
      </x:c>
      <x:c r="C19" s="167" t="str">
        <x:f>IFERROR(ROUND(AVERAGE(Progress_nazorat!T3:T32),0)&amp;"%","")</x:f>
      </x:c>
      <x:c r="D19" s="32" t="str">
        <x:v>90%+ a’lo, 80%+ yaxshi, 70%+ qoniqarli</x:v>
      </x:c>
      <x:c r="E19" s="32" t="str">
        <x:v>Dam/tiklanish kuni</x:v>
      </x:c>
      <x:c r="F19" s="32" t="str">
        <x:v>Sport komponenti sifatida sport foizi yoki qadam maqsadi foizining kattasi olinadi.</x:v>
      </x:c>
    </x:row>
    <x:row r="20">
      <x:c r="A20" s="162" t="str">
        <x:v>Suv ichish o‘rtachasi</x:v>
      </x:c>
      <x:c r="B20" s="32" t="str">
        <x:v>Progress_nazorat!K3:K32 o‘rtachasi</x:v>
      </x:c>
      <x:c r="C20" s="168" t="str">
        <x:f>IFERROR(ROUND(AVERAGE(Progress_nazorat!K3:K32),1)&amp;" L","")</x:f>
      </x:c>
      <x:c r="D20" s="32"/>
      <x:c r="E20" s="32" t="str">
        <x:v>Suv va uyqu K/L ustunlardan olinadi</x:v>
      </x:c>
      <x:c r="F20" s="32"/>
    </x:row>
    <x:row r="21">
      <x:c r="A21" s="162" t="str">
        <x:v>Uyqu o‘rtachasi</x:v>
      </x:c>
      <x:c r="B21" s="32" t="str">
        <x:v>Progress_nazorat!L3:L32 o‘rtachasi</x:v>
      </x:c>
      <x:c r="C21" s="168" t="str">
        <x:f>IFERROR(ROUND(AVERAGE(Progress_nazorat!L3:L32),1)&amp;" soat","")</x:f>
      </x:c>
      <x:c r="D21" s="100" t="str">
        <x:v>Baholash shkalasi</x:v>
      </x:c>
      <x:c r="E21" s="100" t="str">
        <x:v>Foiz</x:v>
      </x:c>
      <x:c r="F21" s="100" t="str">
        <x:v>Status</x:v>
      </x:c>
    </x:row>
    <x:row r="22">
      <x:c r="A22" s="162" t="str">
        <x:v>Muhim</x:v>
      </x:c>
      <x:c r="B22" s="32" t="str">
        <x:v>K ustuniga ichilgan suvni L da, L ustuniga uyquni soatda kiriting</x:v>
      </x:c>
      <x:c r="C22" s="32"/>
      <x:c r="D22" s="32" t="str">
        <x:v>A’lo</x:v>
      </x:c>
      <x:c r="E22" s="32" t="str">
        <x:v>90–100%</x:v>
      </x:c>
      <x:c r="F22" s="32" t="str">
        <x:v>Juda yaxshi davom etyapti</x:v>
      </x:c>
    </x:row>
    <x:row r="23">
      <x:c r="D23" s="32" t="str">
        <x:v>Yaxshi</x:v>
      </x:c>
      <x:c r="E23" s="32" t="str">
        <x:v>80–89%</x:v>
      </x:c>
      <x:c r="F23" s="32" t="str">
        <x:v>Reja yaxshi bajarilmoqda</x:v>
      </x:c>
    </x:row>
    <x:row r="24">
      <x:c r="D24" s="32" t="str">
        <x:v>Qoniqarli</x:v>
      </x:c>
      <x:c r="E24" s="32" t="str">
        <x:v>70–79%</x:v>
      </x:c>
      <x:c r="F24" s="32" t="str">
        <x:v>Minimum maqsad bajarildi</x:v>
      </x:c>
    </x:row>
    <x:row r="25">
      <x:c r="D25" s="32" t="str">
        <x:v>Qayta ko‘rish kerak</x:v>
      </x:c>
      <x:c r="E25" s="32" t="str">
        <x:v>&lt;70%</x:v>
      </x:c>
      <x:c r="F25" s="32" t="str">
        <x:v>Sabablarni izohlarga yozing</x:v>
      </x:c>
    </x:row>
  </x:sheetData>
  <x:mergeCells>
    <x:mergeCell ref="A1:H1"/>
    <x:mergeCell ref="A2:H2"/>
    <x:mergeCell ref="A13:F13"/>
  </x:mergeCells>
  <x:conditionalFormatting sqref="C17:C1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560e7aa9a1264a5e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2" hidden="0" customWidth="1"/>
    <x:col min="8" max="8" width="13" hidden="0" customWidth="1"/>
    <x:col min="9" max="9" width="10" hidden="0" customWidth="1"/>
    <x:col min="10" max="10" width="9" hidden="0" customWidth="1"/>
    <x:col min="11" max="11" width="14" hidden="0" customWidth="1"/>
    <x:col min="12" max="12" width="12" hidden="0" customWidth="1"/>
    <x:col min="13" max="13" width="32" hidden="0" customWidth="1"/>
    <x:col min="14" max="14" width="32" hidden="0" customWidth="1"/>
  </x:cols>
  <x:sheetData>
    <x:row r="1" ht="15" hidden="0" customHeight="1">
      <x:c r="A1" s="29" t="str">
        <x:v>Hafta</x:v>
      </x:c>
      <x:c r="B1" s="29" t="str">
        <x:v>Sana</x:v>
      </x:c>
      <x:c r="C1" s="29" t="str">
        <x:v>Kun</x:v>
      </x:c>
      <x:c r="D1" s="29" t="str">
        <x:v>Mashg‘ulot</x:v>
      </x:c>
      <x:c r="E1" s="29" t="str">
        <x:v>Maqsad</x:v>
      </x:c>
      <x:c r="F1" s="29" t="str">
        <x:v>Kkal</x:v>
      </x:c>
      <x:c r="G1" s="29" t="str">
        <x:v>Oqsil (g)</x:v>
      </x:c>
      <x:c r="H1" s="29" t="str">
        <x:v>Uglevod (g)</x:v>
      </x:c>
      <x:c r="I1" s="29" t="str">
        <x:v>Yog‘ (g)</x:v>
      </x:c>
      <x:c r="J1" s="29" t="str">
        <x:v>Suv (L)</x:v>
      </x:c>
      <x:c r="K1" s="29" t="str">
        <x:v>Uyqu maqsadi</x:v>
      </x:c>
      <x:c r="L1" s="29" t="str">
        <x:v>Status</x:v>
      </x:c>
      <x:c r="M1" s="29" t="str">
        <x:v>Ovqatlanish izohi</x:v>
      </x:c>
      <x:c r="N1" s="29" t="str">
        <x:v>Mashg‘ulot izohi</x:v>
      </x:c>
    </x:row>
    <x:row r="2">
      <x:c r="A2" s="33" t="n">
        <x:v>1</x:v>
      </x:c>
      <x:c r="B2" s="36" t="n">
        <x:v>46216</x:v>
      </x:c>
      <x:c r="C2" s="33" t="str">
        <x:v>Dushanba</x:v>
      </x:c>
      <x:c r="D2" s="33" t="str">
        <x:v>Yengil suzish / 30–40 daq yurish</x:v>
      </x:c>
      <x:c r="E2" s="33" t="str">
        <x:v>Tiklanish, yurak-qon tomir</x:v>
      </x:c>
      <x:c r="F2" s="33" t="n">
        <x:v>2350</x:v>
      </x:c>
      <x:c r="G2" s="33" t="n">
        <x:v>170</x:v>
      </x:c>
      <x:c r="H2" s="33" t="n">
        <x:v>255</x:v>
      </x:c>
      <x:c r="I2" s="33" t="n">
        <x:v>70</x:v>
      </x:c>
      <x:c r="J2" s="33" t="n">
        <x:v>3</x:v>
      </x:c>
      <x:c r="K2" s="33" t="str">
        <x:v>7 soatga yaqin</x:v>
      </x:c>
      <x:c r="L2" s="33" t="str">
        <x:v>Reja</x:v>
      </x:c>
      <x:c r="M2" s="33" t="str"/>
      <x:c r="N2" s="33" t="str"/>
    </x:row>
    <x:row r="3">
      <x:c r="A3" s="33" t="n">
        <x:v>1</x:v>
      </x:c>
      <x:c r="B3" s="36" t="n">
        <x:v>46217</x:v>
      </x:c>
      <x:c r="C3" s="33" t="str">
        <x:v>Seshanba</x:v>
      </x:c>
      <x:c r="D3" s="33" t="str">
        <x:v>Boks</x:v>
      </x:c>
      <x:c r="E3" s="33" t="str">
        <x:v>Kardio, chidamlilik, koordinatsiya</x:v>
      </x:c>
      <x:c r="F3" s="33" t="n">
        <x:v>2450</x:v>
      </x:c>
      <x:c r="G3" s="33" t="n">
        <x:v>170</x:v>
      </x:c>
      <x:c r="H3" s="33" t="n">
        <x:v>285</x:v>
      </x:c>
      <x:c r="I3" s="33" t="n">
        <x:v>70</x:v>
      </x:c>
      <x:c r="J3" s="33" t="n">
        <x:v>3.2</x:v>
      </x:c>
      <x:c r="K3" s="33" t="str">
        <x:v>7 soatga yaqin</x:v>
      </x:c>
      <x:c r="L3" s="33" t="str">
        <x:v>Reja</x:v>
      </x:c>
      <x:c r="M3" s="33" t="str"/>
      <x:c r="N3" s="33" t="str"/>
    </x:row>
    <x:row r="4">
      <x:c r="A4" s="33" t="n">
        <x:v>1</x:v>
      </x:c>
      <x:c r="B4" s="36" t="n">
        <x:v>46218</x:v>
      </x:c>
      <x:c r="C4" s="33" t="str">
        <x:v>Chorshanba</x:v>
      </x:c>
      <x:c r="D4" s="33" t="str">
        <x:v>Dam olish / stretching</x:v>
      </x:c>
      <x:c r="E4" s="33" t="str">
        <x:v>Tiklanish, mobilitet</x:v>
      </x:c>
      <x:c r="F4" s="33" t="n">
        <x:v>2200</x:v>
      </x:c>
      <x:c r="G4" s="33" t="n">
        <x:v>170</x:v>
      </x:c>
      <x:c r="H4" s="33" t="n">
        <x:v>210</x:v>
      </x:c>
      <x:c r="I4" s="33" t="n">
        <x:v>75</x:v>
      </x:c>
      <x:c r="J4" s="33" t="n">
        <x:v>2.8</x:v>
      </x:c>
      <x:c r="K4" s="33" t="str">
        <x:v>7+ soat</x:v>
      </x:c>
      <x:c r="L4" s="33" t="str">
        <x:v>Reja</x:v>
      </x:c>
      <x:c r="M4" s="33" t="str"/>
      <x:c r="N4" s="33" t="str"/>
    </x:row>
    <x:row r="5">
      <x:c r="A5" s="33" t="n">
        <x:v>1</x:v>
      </x:c>
      <x:c r="B5" s="36" t="n">
        <x:v>46219</x:v>
      </x:c>
      <x:c r="C5" s="33" t="str">
        <x:v>Payshanba</x:v>
      </x:c>
      <x:c r="D5" s="33" t="str">
        <x:v>Boks</x:v>
      </x:c>
      <x:c r="E5" s="33" t="str">
        <x:v>Kardio + portlovchi kuch</x:v>
      </x:c>
      <x:c r="F5" s="33" t="n">
        <x:v>2450</x:v>
      </x:c>
      <x:c r="G5" s="33" t="n">
        <x:v>170</x:v>
      </x:c>
      <x:c r="H5" s="33" t="n">
        <x:v>285</x:v>
      </x:c>
      <x:c r="I5" s="33" t="n">
        <x:v>70</x:v>
      </x:c>
      <x:c r="J5" s="33" t="n">
        <x:v>3.2</x:v>
      </x:c>
      <x:c r="K5" s="33" t="str">
        <x:v>7 soatga yaqin</x:v>
      </x:c>
      <x:c r="L5" s="33" t="str">
        <x:v>Reja</x:v>
      </x:c>
      <x:c r="M5" s="33" t="str"/>
      <x:c r="N5" s="33" t="str"/>
    </x:row>
    <x:row r="6">
      <x:c r="A6" s="33" t="n">
        <x:v>1</x:v>
      </x:c>
      <x:c r="B6" s="36" t="n">
        <x:v>46220</x:v>
      </x:c>
      <x:c r="C6" s="33" t="str">
        <x:v>Juma</x:v>
      </x:c>
      <x:c r="D6" s="33" t="str">
        <x:v>Dam olish / yengil yurish</x:v>
      </x:c>
      <x:c r="E6" s="33" t="str">
        <x:v>Tiklanish, qadam</x:v>
      </x:c>
      <x:c r="F6" s="33" t="n">
        <x:v>2200</x:v>
      </x:c>
      <x:c r="G6" s="33" t="n">
        <x:v>170</x:v>
      </x:c>
      <x:c r="H6" s="33" t="n">
        <x:v>210</x:v>
      </x:c>
      <x:c r="I6" s="33" t="n">
        <x:v>75</x:v>
      </x:c>
      <x:c r="J6" s="33" t="n">
        <x:v>2.8</x:v>
      </x:c>
      <x:c r="K6" s="33" t="str">
        <x:v>7+ soat</x:v>
      </x:c>
      <x:c r="L6" s="33" t="str">
        <x:v>Reja</x:v>
      </x:c>
      <x:c r="M6" s="33" t="str"/>
      <x:c r="N6" s="33" t="str"/>
    </x:row>
    <x:row r="7">
      <x:c r="A7" s="33" t="n">
        <x:v>1</x:v>
      </x:c>
      <x:c r="B7" s="36" t="n">
        <x:v>46221</x:v>
      </x:c>
      <x:c r="C7" s="33" t="str">
        <x:v>Shanba</x:v>
      </x:c>
      <x:c r="D7" s="33" t="str">
        <x:v>Gym — oyoq kuni</x:v>
      </x:c>
      <x:c r="E7" s="33" t="str">
        <x:v>Oyoq, dumba, core, kuch</x:v>
      </x:c>
      <x:c r="F7" s="33" t="n">
        <x:v>2500</x:v>
      </x:c>
      <x:c r="G7" s="33" t="n">
        <x:v>170</x:v>
      </x:c>
      <x:c r="H7" s="33" t="n">
        <x:v>300</x:v>
      </x:c>
      <x:c r="I7" s="33" t="n">
        <x:v>70</x:v>
      </x:c>
      <x:c r="J7" s="33" t="n">
        <x:v>3.2</x:v>
      </x:c>
      <x:c r="K7" s="33" t="str">
        <x:v>7+ soat</x:v>
      </x:c>
      <x:c r="L7" s="33" t="str">
        <x:v>Reja</x:v>
      </x:c>
      <x:c r="M7" s="33" t="str"/>
      <x:c r="N7" s="33" t="str"/>
    </x:row>
    <x:row r="8">
      <x:c r="A8" s="33" t="n">
        <x:v>1</x:v>
      </x:c>
      <x:c r="B8" s="36" t="n">
        <x:v>46222</x:v>
      </x:c>
      <x:c r="C8" s="33" t="str">
        <x:v>Yakshanba</x:v>
      </x:c>
      <x:c r="D8" s="33" t="str">
        <x:v>Upper body yoki suzish</x:v>
      </x:c>
      <x:c r="E8" s="33" t="str">
        <x:v>Yuqori tana / tiklanish</x:v>
      </x:c>
      <x:c r="F8" s="33" t="n">
        <x:v>2400</x:v>
      </x:c>
      <x:c r="G8" s="33" t="n">
        <x:v>170</x:v>
      </x:c>
      <x:c r="H8" s="33" t="n">
        <x:v>270</x:v>
      </x:c>
      <x:c r="I8" s="33" t="n">
        <x:v>70</x:v>
      </x:c>
      <x:c r="J8" s="33" t="n">
        <x:v>3</x:v>
      </x:c>
      <x:c r="K8" s="33" t="str">
        <x:v>7+ soat</x:v>
      </x:c>
      <x:c r="L8" s="33" t="str">
        <x:v>Reja</x:v>
      </x:c>
      <x:c r="M8" s="33" t="str"/>
      <x:c r="N8" s="33" t="str"/>
    </x:row>
    <x:row r="9">
      <x:c r="A9" s="33" t="n">
        <x:v>2</x:v>
      </x:c>
      <x:c r="B9" s="36" t="n">
        <x:v>46223</x:v>
      </x:c>
      <x:c r="C9" s="33" t="str">
        <x:v>Dushanba</x:v>
      </x:c>
      <x:c r="D9" s="33" t="str">
        <x:v>Yengil suzish / 30–40 daq yurish</x:v>
      </x:c>
      <x:c r="E9" s="33" t="str">
        <x:v>Tiklanish, yurak-qon tomir</x:v>
      </x:c>
      <x:c r="F9" s="33" t="n">
        <x:v>2350</x:v>
      </x:c>
      <x:c r="G9" s="33" t="n">
        <x:v>170</x:v>
      </x:c>
      <x:c r="H9" s="33" t="n">
        <x:v>255</x:v>
      </x:c>
      <x:c r="I9" s="33" t="n">
        <x:v>70</x:v>
      </x:c>
      <x:c r="J9" s="33" t="n">
        <x:v>3</x:v>
      </x:c>
      <x:c r="K9" s="33" t="str">
        <x:v>7 soatga yaqin</x:v>
      </x:c>
      <x:c r="L9" s="33" t="str">
        <x:v>Reja</x:v>
      </x:c>
      <x:c r="M9" s="33" t="str"/>
      <x:c r="N9" s="33" t="str"/>
    </x:row>
    <x:row r="10">
      <x:c r="A10" s="33" t="n">
        <x:v>2</x:v>
      </x:c>
      <x:c r="B10" s="36" t="n">
        <x:v>46224</x:v>
      </x:c>
      <x:c r="C10" s="33" t="str">
        <x:v>Seshanba</x:v>
      </x:c>
      <x:c r="D10" s="33" t="str">
        <x:v>Boks</x:v>
      </x:c>
      <x:c r="E10" s="33" t="str">
        <x:v>Kardio, chidamlilik, koordinatsiya</x:v>
      </x:c>
      <x:c r="F10" s="33" t="n">
        <x:v>2450</x:v>
      </x:c>
      <x:c r="G10" s="33" t="n">
        <x:v>170</x:v>
      </x:c>
      <x:c r="H10" s="33" t="n">
        <x:v>285</x:v>
      </x:c>
      <x:c r="I10" s="33" t="n">
        <x:v>70</x:v>
      </x:c>
      <x:c r="J10" s="33" t="n">
        <x:v>3.2</x:v>
      </x:c>
      <x:c r="K10" s="33" t="str">
        <x:v>7 soatga yaqin</x:v>
      </x:c>
      <x:c r="L10" s="33" t="str">
        <x:v>Reja</x:v>
      </x:c>
      <x:c r="M10" s="33" t="str"/>
      <x:c r="N10" s="33" t="str"/>
    </x:row>
    <x:row r="11">
      <x:c r="A11" s="33" t="n">
        <x:v>2</x:v>
      </x:c>
      <x:c r="B11" s="36" t="n">
        <x:v>46225</x:v>
      </x:c>
      <x:c r="C11" s="33" t="str">
        <x:v>Chorshanba</x:v>
      </x:c>
      <x:c r="D11" s="33" t="str">
        <x:v>Dam olish / stretching</x:v>
      </x:c>
      <x:c r="E11" s="33" t="str">
        <x:v>Tiklanish, mobilitet</x:v>
      </x:c>
      <x:c r="F11" s="33" t="n">
        <x:v>2200</x:v>
      </x:c>
      <x:c r="G11" s="33" t="n">
        <x:v>170</x:v>
      </x:c>
      <x:c r="H11" s="33" t="n">
        <x:v>210</x:v>
      </x:c>
      <x:c r="I11" s="33" t="n">
        <x:v>75</x:v>
      </x:c>
      <x:c r="J11" s="33" t="n">
        <x:v>2.8</x:v>
      </x:c>
      <x:c r="K11" s="33" t="str">
        <x:v>7+ soat</x:v>
      </x:c>
      <x:c r="L11" s="33" t="str">
        <x:v>Reja</x:v>
      </x:c>
      <x:c r="M11" s="33" t="str"/>
      <x:c r="N11" s="33" t="str"/>
    </x:row>
    <x:row r="12">
      <x:c r="A12" s="33" t="n">
        <x:v>2</x:v>
      </x:c>
      <x:c r="B12" s="36" t="n">
        <x:v>46226</x:v>
      </x:c>
      <x:c r="C12" s="33" t="str">
        <x:v>Payshanba</x:v>
      </x:c>
      <x:c r="D12" s="33" t="str">
        <x:v>Boks</x:v>
      </x:c>
      <x:c r="E12" s="33" t="str">
        <x:v>Kardio + portlovchi kuch</x:v>
      </x:c>
      <x:c r="F12" s="33" t="n">
        <x:v>2450</x:v>
      </x:c>
      <x:c r="G12" s="33" t="n">
        <x:v>170</x:v>
      </x:c>
      <x:c r="H12" s="33" t="n">
        <x:v>285</x:v>
      </x:c>
      <x:c r="I12" s="33" t="n">
        <x:v>70</x:v>
      </x:c>
      <x:c r="J12" s="33" t="n">
        <x:v>3.2</x:v>
      </x:c>
      <x:c r="K12" s="33" t="str">
        <x:v>7 soatga yaqin</x:v>
      </x:c>
      <x:c r="L12" s="33" t="str">
        <x:v>Reja</x:v>
      </x:c>
      <x:c r="M12" s="33" t="str"/>
      <x:c r="N12" s="33" t="str"/>
    </x:row>
    <x:row r="13">
      <x:c r="A13" s="33" t="n">
        <x:v>2</x:v>
      </x:c>
      <x:c r="B13" s="36" t="n">
        <x:v>46227</x:v>
      </x:c>
      <x:c r="C13" s="33" t="str">
        <x:v>Juma</x:v>
      </x:c>
      <x:c r="D13" s="33" t="str">
        <x:v>Dam olish / yengil yurish</x:v>
      </x:c>
      <x:c r="E13" s="33" t="str">
        <x:v>Tiklanish, qadam</x:v>
      </x:c>
      <x:c r="F13" s="33" t="n">
        <x:v>2200</x:v>
      </x:c>
      <x:c r="G13" s="33" t="n">
        <x:v>170</x:v>
      </x:c>
      <x:c r="H13" s="33" t="n">
        <x:v>210</x:v>
      </x:c>
      <x:c r="I13" s="33" t="n">
        <x:v>75</x:v>
      </x:c>
      <x:c r="J13" s="33" t="n">
        <x:v>2.8</x:v>
      </x:c>
      <x:c r="K13" s="33" t="str">
        <x:v>7+ soat</x:v>
      </x:c>
      <x:c r="L13" s="33" t="str">
        <x:v>Reja</x:v>
      </x:c>
      <x:c r="M13" s="33" t="str"/>
      <x:c r="N13" s="33" t="str"/>
    </x:row>
    <x:row r="14">
      <x:c r="A14" s="33" t="n">
        <x:v>2</x:v>
      </x:c>
      <x:c r="B14" s="36" t="n">
        <x:v>46228</x:v>
      </x:c>
      <x:c r="C14" s="33" t="str">
        <x:v>Shanba</x:v>
      </x:c>
      <x:c r="D14" s="33" t="str">
        <x:v>Gym — oyoq kuni</x:v>
      </x:c>
      <x:c r="E14" s="33" t="str">
        <x:v>Oyoq, dumba, core, kuch</x:v>
      </x:c>
      <x:c r="F14" s="33" t="n">
        <x:v>2500</x:v>
      </x:c>
      <x:c r="G14" s="33" t="n">
        <x:v>170</x:v>
      </x:c>
      <x:c r="H14" s="33" t="n">
        <x:v>300</x:v>
      </x:c>
      <x:c r="I14" s="33" t="n">
        <x:v>70</x:v>
      </x:c>
      <x:c r="J14" s="33" t="n">
        <x:v>3.2</x:v>
      </x:c>
      <x:c r="K14" s="33" t="str">
        <x:v>7+ soat</x:v>
      </x:c>
      <x:c r="L14" s="33" t="str">
        <x:v>Reja</x:v>
      </x:c>
      <x:c r="M14" s="33" t="str"/>
      <x:c r="N14" s="33" t="str"/>
    </x:row>
    <x:row r="15">
      <x:c r="A15" s="33" t="n">
        <x:v>2</x:v>
      </x:c>
      <x:c r="B15" s="36" t="n">
        <x:v>46229</x:v>
      </x:c>
      <x:c r="C15" s="33" t="str">
        <x:v>Yakshanba</x:v>
      </x:c>
      <x:c r="D15" s="33" t="str">
        <x:v>Upper body yoki suzish</x:v>
      </x:c>
      <x:c r="E15" s="33" t="str">
        <x:v>Yuqori tana / tiklanish</x:v>
      </x:c>
      <x:c r="F15" s="33" t="n">
        <x:v>2400</x:v>
      </x:c>
      <x:c r="G15" s="33" t="n">
        <x:v>170</x:v>
      </x:c>
      <x:c r="H15" s="33" t="n">
        <x:v>270</x:v>
      </x:c>
      <x:c r="I15" s="33" t="n">
        <x:v>70</x:v>
      </x:c>
      <x:c r="J15" s="33" t="n">
        <x:v>3</x:v>
      </x:c>
      <x:c r="K15" s="33" t="str">
        <x:v>7+ soat</x:v>
      </x:c>
      <x:c r="L15" s="33" t="str">
        <x:v>Reja</x:v>
      </x:c>
      <x:c r="M15" s="33" t="str"/>
      <x:c r="N15" s="33" t="str"/>
    </x:row>
    <x:row r="16">
      <x:c r="A16" s="33" t="n">
        <x:v>3</x:v>
      </x:c>
      <x:c r="B16" s="36" t="n">
        <x:v>46230</x:v>
      </x:c>
      <x:c r="C16" s="33" t="str">
        <x:v>Dushanba</x:v>
      </x:c>
      <x:c r="D16" s="33" t="str">
        <x:v>Yengil suzish / 30–40 daq yurish</x:v>
      </x:c>
      <x:c r="E16" s="33" t="str">
        <x:v>Tiklanish, yurak-qon tomir</x:v>
      </x:c>
      <x:c r="F16" s="33" t="n">
        <x:v>2350</x:v>
      </x:c>
      <x:c r="G16" s="33" t="n">
        <x:v>170</x:v>
      </x:c>
      <x:c r="H16" s="33" t="n">
        <x:v>255</x:v>
      </x:c>
      <x:c r="I16" s="33" t="n">
        <x:v>70</x:v>
      </x:c>
      <x:c r="J16" s="33" t="n">
        <x:v>3</x:v>
      </x:c>
      <x:c r="K16" s="33" t="str">
        <x:v>7 soatga yaqin</x:v>
      </x:c>
      <x:c r="L16" s="33" t="str">
        <x:v>Reja</x:v>
      </x:c>
      <x:c r="M16" s="33" t="str"/>
      <x:c r="N16" s="33" t="str"/>
    </x:row>
    <x:row r="17">
      <x:c r="A17" s="33" t="n">
        <x:v>3</x:v>
      </x:c>
      <x:c r="B17" s="36" t="n">
        <x:v>46231</x:v>
      </x:c>
      <x:c r="C17" s="33" t="str">
        <x:v>Seshanba</x:v>
      </x:c>
      <x:c r="D17" s="33" t="str">
        <x:v>Boks</x:v>
      </x:c>
      <x:c r="E17" s="33" t="str">
        <x:v>Kardio, chidamlilik, koordinatsiya</x:v>
      </x:c>
      <x:c r="F17" s="33" t="n">
        <x:v>2450</x:v>
      </x:c>
      <x:c r="G17" s="33" t="n">
        <x:v>170</x:v>
      </x:c>
      <x:c r="H17" s="33" t="n">
        <x:v>285</x:v>
      </x:c>
      <x:c r="I17" s="33" t="n">
        <x:v>70</x:v>
      </x:c>
      <x:c r="J17" s="33" t="n">
        <x:v>3.2</x:v>
      </x:c>
      <x:c r="K17" s="33" t="str">
        <x:v>7 soatga yaqin</x:v>
      </x:c>
      <x:c r="L17" s="33" t="str">
        <x:v>Reja</x:v>
      </x:c>
      <x:c r="M17" s="33" t="str"/>
      <x:c r="N17" s="33" t="str"/>
    </x:row>
    <x:row r="18">
      <x:c r="A18" s="33" t="n">
        <x:v>3</x:v>
      </x:c>
      <x:c r="B18" s="36" t="n">
        <x:v>46232</x:v>
      </x:c>
      <x:c r="C18" s="33" t="str">
        <x:v>Chorshanba</x:v>
      </x:c>
      <x:c r="D18" s="33" t="str">
        <x:v>Dam olish / stretching</x:v>
      </x:c>
      <x:c r="E18" s="33" t="str">
        <x:v>Tiklanish, mobilitet</x:v>
      </x:c>
      <x:c r="F18" s="33" t="n">
        <x:v>2200</x:v>
      </x:c>
      <x:c r="G18" s="33" t="n">
        <x:v>170</x:v>
      </x:c>
      <x:c r="H18" s="33" t="n">
        <x:v>210</x:v>
      </x:c>
      <x:c r="I18" s="33" t="n">
        <x:v>75</x:v>
      </x:c>
      <x:c r="J18" s="33" t="n">
        <x:v>2.8</x:v>
      </x:c>
      <x:c r="K18" s="33" t="str">
        <x:v>7+ soat</x:v>
      </x:c>
      <x:c r="L18" s="33" t="str">
        <x:v>Reja</x:v>
      </x:c>
      <x:c r="M18" s="33" t="str"/>
      <x:c r="N18" s="33" t="str"/>
    </x:row>
    <x:row r="19">
      <x:c r="A19" s="33" t="n">
        <x:v>3</x:v>
      </x:c>
      <x:c r="B19" s="36" t="n">
        <x:v>46233</x:v>
      </x:c>
      <x:c r="C19" s="33" t="str">
        <x:v>Payshanba</x:v>
      </x:c>
      <x:c r="D19" s="33" t="str">
        <x:v>Boks</x:v>
      </x:c>
      <x:c r="E19" s="33" t="str">
        <x:v>Kardio + portlovchi kuch</x:v>
      </x:c>
      <x:c r="F19" s="33" t="n">
        <x:v>2450</x:v>
      </x:c>
      <x:c r="G19" s="33" t="n">
        <x:v>170</x:v>
      </x:c>
      <x:c r="H19" s="33" t="n">
        <x:v>285</x:v>
      </x:c>
      <x:c r="I19" s="33" t="n">
        <x:v>70</x:v>
      </x:c>
      <x:c r="J19" s="33" t="n">
        <x:v>3.2</x:v>
      </x:c>
      <x:c r="K19" s="33" t="str">
        <x:v>7 soatga yaqin</x:v>
      </x:c>
      <x:c r="L19" s="33" t="str">
        <x:v>Reja</x:v>
      </x:c>
      <x:c r="M19" s="33" t="str"/>
      <x:c r="N19" s="33" t="str"/>
    </x:row>
    <x:row r="20">
      <x:c r="A20" s="33" t="n">
        <x:v>3</x:v>
      </x:c>
      <x:c r="B20" s="36" t="n">
        <x:v>46234</x:v>
      </x:c>
      <x:c r="C20" s="33" t="str">
        <x:v>Juma</x:v>
      </x:c>
      <x:c r="D20" s="33" t="str">
        <x:v>Dam olish / yengil yurish</x:v>
      </x:c>
      <x:c r="E20" s="33" t="str">
        <x:v>Tiklanish, qadam</x:v>
      </x:c>
      <x:c r="F20" s="33" t="n">
        <x:v>2200</x:v>
      </x:c>
      <x:c r="G20" s="33" t="n">
        <x:v>170</x:v>
      </x:c>
      <x:c r="H20" s="33" t="n">
        <x:v>210</x:v>
      </x:c>
      <x:c r="I20" s="33" t="n">
        <x:v>75</x:v>
      </x:c>
      <x:c r="J20" s="33" t="n">
        <x:v>2.8</x:v>
      </x:c>
      <x:c r="K20" s="33" t="str">
        <x:v>7+ soat</x:v>
      </x:c>
      <x:c r="L20" s="33" t="str">
        <x:v>Reja</x:v>
      </x:c>
      <x:c r="M20" s="33" t="str"/>
      <x:c r="N20" s="33" t="str"/>
    </x:row>
    <x:row r="21">
      <x:c r="A21" s="33" t="n">
        <x:v>3</x:v>
      </x:c>
      <x:c r="B21" s="36" t="n">
        <x:v>46235</x:v>
      </x:c>
      <x:c r="C21" s="33" t="str">
        <x:v>Shanba</x:v>
      </x:c>
      <x:c r="D21" s="33" t="str">
        <x:v>Gym — oyoq kuni</x:v>
      </x:c>
      <x:c r="E21" s="33" t="str">
        <x:v>Oyoq, dumba, core, kuch</x:v>
      </x:c>
      <x:c r="F21" s="33" t="n">
        <x:v>2500</x:v>
      </x:c>
      <x:c r="G21" s="33" t="n">
        <x:v>170</x:v>
      </x:c>
      <x:c r="H21" s="33" t="n">
        <x:v>300</x:v>
      </x:c>
      <x:c r="I21" s="33" t="n">
        <x:v>70</x:v>
      </x:c>
      <x:c r="J21" s="33" t="n">
        <x:v>3.2</x:v>
      </x:c>
      <x:c r="K21" s="33" t="str">
        <x:v>7+ soat</x:v>
      </x:c>
      <x:c r="L21" s="33" t="str">
        <x:v>Reja</x:v>
      </x:c>
      <x:c r="M21" s="33" t="str"/>
      <x:c r="N21" s="33" t="str"/>
    </x:row>
    <x:row r="22">
      <x:c r="A22" s="33" t="n">
        <x:v>3</x:v>
      </x:c>
      <x:c r="B22" s="36" t="n">
        <x:v>46236</x:v>
      </x:c>
      <x:c r="C22" s="33" t="str">
        <x:v>Yakshanba</x:v>
      </x:c>
      <x:c r="D22" s="33" t="str">
        <x:v>Upper body yoki suzish</x:v>
      </x:c>
      <x:c r="E22" s="33" t="str">
        <x:v>Yuqori tana / tiklanish</x:v>
      </x:c>
      <x:c r="F22" s="33" t="n">
        <x:v>2400</x:v>
      </x:c>
      <x:c r="G22" s="33" t="n">
        <x:v>170</x:v>
      </x:c>
      <x:c r="H22" s="33" t="n">
        <x:v>270</x:v>
      </x:c>
      <x:c r="I22" s="33" t="n">
        <x:v>70</x:v>
      </x:c>
      <x:c r="J22" s="33" t="n">
        <x:v>3</x:v>
      </x:c>
      <x:c r="K22" s="33" t="str">
        <x:v>7+ soat</x:v>
      </x:c>
      <x:c r="L22" s="33" t="str">
        <x:v>Reja</x:v>
      </x:c>
      <x:c r="M22" s="33" t="str"/>
      <x:c r="N22" s="33" t="str"/>
    </x:row>
    <x:row r="23">
      <x:c r="A23" s="33" t="n">
        <x:v>4</x:v>
      </x:c>
      <x:c r="B23" s="36" t="n">
        <x:v>46237</x:v>
      </x:c>
      <x:c r="C23" s="33" t="str">
        <x:v>Dushanba</x:v>
      </x:c>
      <x:c r="D23" s="33" t="str">
        <x:v>Yengil suzish / 30–40 daq yurish</x:v>
      </x:c>
      <x:c r="E23" s="33" t="str">
        <x:v>Tiklanish, yurak-qon tomir</x:v>
      </x:c>
      <x:c r="F23" s="33" t="n">
        <x:v>2350</x:v>
      </x:c>
      <x:c r="G23" s="33" t="n">
        <x:v>170</x:v>
      </x:c>
      <x:c r="H23" s="33" t="n">
        <x:v>255</x:v>
      </x:c>
      <x:c r="I23" s="33" t="n">
        <x:v>70</x:v>
      </x:c>
      <x:c r="J23" s="33" t="n">
        <x:v>3</x:v>
      </x:c>
      <x:c r="K23" s="33" t="str">
        <x:v>7 soatga yaqin</x:v>
      </x:c>
      <x:c r="L23" s="33" t="str">
        <x:v>Reja</x:v>
      </x:c>
      <x:c r="M23" s="33" t="str"/>
      <x:c r="N23" s="33" t="str"/>
    </x:row>
    <x:row r="24">
      <x:c r="A24" s="33" t="n">
        <x:v>4</x:v>
      </x:c>
      <x:c r="B24" s="36" t="n">
        <x:v>46238</x:v>
      </x:c>
      <x:c r="C24" s="33" t="str">
        <x:v>Seshanba</x:v>
      </x:c>
      <x:c r="D24" s="33" t="str">
        <x:v>Boks</x:v>
      </x:c>
      <x:c r="E24" s="33" t="str">
        <x:v>Kardio, chidamlilik, koordinatsiya</x:v>
      </x:c>
      <x:c r="F24" s="33" t="n">
        <x:v>2450</x:v>
      </x:c>
      <x:c r="G24" s="33" t="n">
        <x:v>170</x:v>
      </x:c>
      <x:c r="H24" s="33" t="n">
        <x:v>285</x:v>
      </x:c>
      <x:c r="I24" s="33" t="n">
        <x:v>70</x:v>
      </x:c>
      <x:c r="J24" s="33" t="n">
        <x:v>3.2</x:v>
      </x:c>
      <x:c r="K24" s="33" t="str">
        <x:v>7 soatga yaqin</x:v>
      </x:c>
      <x:c r="L24" s="33" t="str">
        <x:v>Reja</x:v>
      </x:c>
      <x:c r="M24" s="33" t="str"/>
      <x:c r="N24" s="33" t="str"/>
    </x:row>
    <x:row r="25">
      <x:c r="A25" s="33" t="n">
        <x:v>4</x:v>
      </x:c>
      <x:c r="B25" s="36" t="n">
        <x:v>46239</x:v>
      </x:c>
      <x:c r="C25" s="33" t="str">
        <x:v>Chorshanba</x:v>
      </x:c>
      <x:c r="D25" s="33" t="str">
        <x:v>Dam olish / stretching</x:v>
      </x:c>
      <x:c r="E25" s="33" t="str">
        <x:v>Tiklanish, mobilitet</x:v>
      </x:c>
      <x:c r="F25" s="33" t="n">
        <x:v>2200</x:v>
      </x:c>
      <x:c r="G25" s="33" t="n">
        <x:v>170</x:v>
      </x:c>
      <x:c r="H25" s="33" t="n">
        <x:v>210</x:v>
      </x:c>
      <x:c r="I25" s="33" t="n">
        <x:v>75</x:v>
      </x:c>
      <x:c r="J25" s="33" t="n">
        <x:v>2.8</x:v>
      </x:c>
      <x:c r="K25" s="33" t="str">
        <x:v>7+ soat</x:v>
      </x:c>
      <x:c r="L25" s="33" t="str">
        <x:v>Reja</x:v>
      </x:c>
      <x:c r="M25" s="33" t="str"/>
      <x:c r="N25" s="33" t="str"/>
    </x:row>
    <x:row r="26">
      <x:c r="A26" s="33" t="n">
        <x:v>4</x:v>
      </x:c>
      <x:c r="B26" s="36" t="n">
        <x:v>46240</x:v>
      </x:c>
      <x:c r="C26" s="33" t="str">
        <x:v>Payshanba</x:v>
      </x:c>
      <x:c r="D26" s="33" t="str">
        <x:v>Boks</x:v>
      </x:c>
      <x:c r="E26" s="33" t="str">
        <x:v>Kardio + portlovchi kuch</x:v>
      </x:c>
      <x:c r="F26" s="33" t="n">
        <x:v>2450</x:v>
      </x:c>
      <x:c r="G26" s="33" t="n">
        <x:v>170</x:v>
      </x:c>
      <x:c r="H26" s="33" t="n">
        <x:v>285</x:v>
      </x:c>
      <x:c r="I26" s="33" t="n">
        <x:v>70</x:v>
      </x:c>
      <x:c r="J26" s="33" t="n">
        <x:v>3.2</x:v>
      </x:c>
      <x:c r="K26" s="33" t="str">
        <x:v>7 soatga yaqin</x:v>
      </x:c>
      <x:c r="L26" s="33" t="str">
        <x:v>Reja</x:v>
      </x:c>
      <x:c r="M26" s="33" t="str"/>
      <x:c r="N26" s="33" t="str"/>
    </x:row>
    <x:row r="27">
      <x:c r="A27" s="33" t="n">
        <x:v>4</x:v>
      </x:c>
      <x:c r="B27" s="36" t="n">
        <x:v>46241</x:v>
      </x:c>
      <x:c r="C27" s="33" t="str">
        <x:v>Juma</x:v>
      </x:c>
      <x:c r="D27" s="33" t="str">
        <x:v>Dam olish / yengil yurish</x:v>
      </x:c>
      <x:c r="E27" s="33" t="str">
        <x:v>Tiklanish, qadam</x:v>
      </x:c>
      <x:c r="F27" s="33" t="n">
        <x:v>2200</x:v>
      </x:c>
      <x:c r="G27" s="33" t="n">
        <x:v>170</x:v>
      </x:c>
      <x:c r="H27" s="33" t="n">
        <x:v>210</x:v>
      </x:c>
      <x:c r="I27" s="33" t="n">
        <x:v>75</x:v>
      </x:c>
      <x:c r="J27" s="33" t="n">
        <x:v>2.8</x:v>
      </x:c>
      <x:c r="K27" s="33" t="str">
        <x:v>7+ soat</x:v>
      </x:c>
      <x:c r="L27" s="33" t="str">
        <x:v>Reja</x:v>
      </x:c>
      <x:c r="M27" s="33" t="str"/>
      <x:c r="N27" s="33" t="str"/>
    </x:row>
    <x:row r="28">
      <x:c r="A28" s="33" t="n">
        <x:v>4</x:v>
      </x:c>
      <x:c r="B28" s="36" t="n">
        <x:v>46242</x:v>
      </x:c>
      <x:c r="C28" s="33" t="str">
        <x:v>Shanba</x:v>
      </x:c>
      <x:c r="D28" s="33" t="str">
        <x:v>Gym — oyoq kuni</x:v>
      </x:c>
      <x:c r="E28" s="33" t="str">
        <x:v>Oyoq, dumba, core, kuch</x:v>
      </x:c>
      <x:c r="F28" s="33" t="n">
        <x:v>2500</x:v>
      </x:c>
      <x:c r="G28" s="33" t="n">
        <x:v>170</x:v>
      </x:c>
      <x:c r="H28" s="33" t="n">
        <x:v>300</x:v>
      </x:c>
      <x:c r="I28" s="33" t="n">
        <x:v>70</x:v>
      </x:c>
      <x:c r="J28" s="33" t="n">
        <x:v>3.2</x:v>
      </x:c>
      <x:c r="K28" s="33" t="str">
        <x:v>7+ soat</x:v>
      </x:c>
      <x:c r="L28" s="33" t="str">
        <x:v>Reja</x:v>
      </x:c>
      <x:c r="M28" s="33" t="str"/>
      <x:c r="N28" s="33" t="str"/>
    </x:row>
    <x:row r="29">
      <x:c r="A29" s="33" t="n">
        <x:v>4</x:v>
      </x:c>
      <x:c r="B29" s="36" t="n">
        <x:v>46243</x:v>
      </x:c>
      <x:c r="C29" s="33" t="str">
        <x:v>Yakshanba</x:v>
      </x:c>
      <x:c r="D29" s="33" t="str">
        <x:v>Upper body yoki suzish</x:v>
      </x:c>
      <x:c r="E29" s="33" t="str">
        <x:v>Yuqori tana / tiklanish</x:v>
      </x:c>
      <x:c r="F29" s="33" t="n">
        <x:v>2400</x:v>
      </x:c>
      <x:c r="G29" s="33" t="n">
        <x:v>170</x:v>
      </x:c>
      <x:c r="H29" s="33" t="n">
        <x:v>270</x:v>
      </x:c>
      <x:c r="I29" s="33" t="n">
        <x:v>70</x:v>
      </x:c>
      <x:c r="J29" s="33" t="n">
        <x:v>3</x:v>
      </x:c>
      <x:c r="K29" s="33" t="str">
        <x:v>7+ soat</x:v>
      </x:c>
      <x:c r="L29" s="33" t="str">
        <x:v>Reja</x:v>
      </x:c>
      <x:c r="M29" s="33" t="str"/>
      <x:c r="N29" s="33" t="str"/>
    </x:row>
  </x:sheetData>
  <x:dataValidations count="1">
    <x:dataValidation type="list" sqref="L2:L29">
      <x:formula1>"Reja,Bajarildi,O‘zgardi,O‘tkazildi"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247001676a43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14" hidden="0" customWidth="1"/>
    <x:col min="5" max="5" width="42" hidden="0" customWidth="1"/>
    <x:col min="6" max="6" width="18" hidden="0" customWidth="1"/>
    <x:col min="7" max="7" width="12" hidden="0" customWidth="1"/>
    <x:col min="8" max="8" width="32" hidden="0" customWidth="1"/>
  </x:cols>
  <x:sheetData>
    <x:row r="1" ht="15" hidden="0" customHeight="1">
      <x:c r="A1" s="29" t="str">
        <x:v>Kun turi</x:v>
      </x:c>
      <x:c r="B1" s="29" t="str">
        <x:v>Mashq</x:v>
      </x:c>
      <x:c r="C1" s="29" t="str">
        <x:v>Set × takror</x:v>
      </x:c>
      <x:c r="D1" s="29" t="str">
        <x:v>Dam olish</x:v>
      </x:c>
      <x:c r="E1" s="29" t="str">
        <x:v>Texnika/izoh</x:v>
      </x:c>
      <x:c r="F1" s="29" t="str">
        <x:v>O‘z vazningiz / kg</x:v>
      </x:c>
      <x:c r="G1" s="29" t="str">
        <x:v>Bajarildi</x:v>
      </x:c>
      <x:c r="H1" s="29" t="str">
        <x:v>Izoh</x:v>
      </x:c>
    </x:row>
    <x:row r="2">
      <x:c r="A2" s="33" t="str">
        <x:v>Shanba — Oyoq</x:v>
      </x:c>
      <x:c r="B2" s="33" t="str">
        <x:v>Qizish: velotrenajor/yurish</x:v>
      </x:c>
      <x:c r="C2" s="33" t="str">
        <x:v>5–8 daq</x:v>
      </x:c>
      <x:c r="D2" s="33" t="str">
        <x:v>-</x:v>
      </x:c>
      <x:c r="E2" s="33" t="str">
        <x:v>Yurak urishini oshirish, tizza/sonni tayyorlash</x:v>
      </x:c>
      <x:c r="F2" s="33" t="str"/>
      <x:c r="G2" s="33" t="str"/>
      <x:c r="H2" s="33" t="str"/>
    </x:row>
    <x:row r="3">
      <x:c r="A3" s="33" t="str">
        <x:v>Shanba — Oyoq</x:v>
      </x:c>
      <x:c r="B3" s="33" t="str">
        <x:v>Squat yoki Leg Press</x:v>
      </x:c>
      <x:c r="C3" s="33" t="str">
        <x:v>4 × 8–12</x:v>
      </x:c>
      <x:c r="D3" s="33" t="str">
        <x:v>90–120 sek</x:v>
      </x:c>
      <x:c r="E3" s="33" t="str">
        <x:v>Boksdan charchoq bo‘lsa Leg Press tanlang</x:v>
      </x:c>
      <x:c r="F3" s="33" t="str"/>
      <x:c r="G3" s="33" t="str"/>
      <x:c r="H3" s="33" t="str"/>
    </x:row>
    <x:row r="4">
      <x:c r="A4" s="33" t="str">
        <x:v>Shanba — Oyoq</x:v>
      </x:c>
      <x:c r="B4" s="33" t="str">
        <x:v>Romanian Deadlift</x:v>
      </x:c>
      <x:c r="C4" s="33" t="str">
        <x:v>3 × 8–10</x:v>
      </x:c>
      <x:c r="D4" s="33" t="str">
        <x:v>90 sek</x:v>
      </x:c>
      <x:c r="E4" s="33" t="str">
        <x:v>Orqa son/dumba, belni to‘g‘ri tuting</x:v>
      </x:c>
      <x:c r="F4" s="33" t="str"/>
      <x:c r="G4" s="33" t="str"/>
      <x:c r="H4" s="33" t="str"/>
    </x:row>
    <x:row r="5">
      <x:c r="A5" s="33" t="str">
        <x:v>Shanba — Oyoq</x:v>
      </x:c>
      <x:c r="B5" s="33" t="str">
        <x:v>Walking Lunges yoki Split Squat</x:v>
      </x:c>
      <x:c r="C5" s="33" t="str">
        <x:v>3 × 10 har oyoq</x:v>
      </x:c>
      <x:c r="D5" s="33" t="str">
        <x:v>60–90 sek</x:v>
      </x:c>
      <x:c r="E5" s="33" t="str">
        <x:v>Tizzani ichkariga kiritmang</x:v>
      </x:c>
      <x:c r="F5" s="33" t="str"/>
      <x:c r="G5" s="33" t="str"/>
      <x:c r="H5" s="33" t="str"/>
    </x:row>
    <x:row r="6">
      <x:c r="A6" s="33" t="str">
        <x:v>Shanba — Oyoq</x:v>
      </x:c>
      <x:c r="B6" s="33" t="str">
        <x:v>Leg Curl</x:v>
      </x:c>
      <x:c r="C6" s="33" t="str">
        <x:v>3 × 10–15</x:v>
      </x:c>
      <x:c r="D6" s="33" t="str">
        <x:v>60 sek</x:v>
      </x:c>
      <x:c r="E6" s="33" t="str">
        <x:v>Orqa sonni nazoratli qisqartirish</x:v>
      </x:c>
      <x:c r="F6" s="33" t="str"/>
      <x:c r="G6" s="33" t="str"/>
      <x:c r="H6" s="33" t="str"/>
    </x:row>
    <x:row r="7">
      <x:c r="A7" s="33" t="str">
        <x:v>Shanba — Oyoq</x:v>
      </x:c>
      <x:c r="B7" s="33" t="str">
        <x:v>Leg Extension</x:v>
      </x:c>
      <x:c r="C7" s="33" t="str">
        <x:v>3 × 10–15</x:v>
      </x:c>
      <x:c r="D7" s="33" t="str">
        <x:v>60 sek</x:v>
      </x:c>
      <x:c r="E7" s="33" t="str">
        <x:v>Old son, tizzani qulflamang</x:v>
      </x:c>
      <x:c r="F7" s="33" t="str"/>
      <x:c r="G7" s="33" t="str"/>
      <x:c r="H7" s="33" t="str"/>
    </x:row>
    <x:row r="8">
      <x:c r="A8" s="33" t="str">
        <x:v>Shanba — Oyoq</x:v>
      </x:c>
      <x:c r="B8" s="33" t="str">
        <x:v>Standing/Seated Calf Raise</x:v>
      </x:c>
      <x:c r="C8" s="33" t="str">
        <x:v>4 × 12–20</x:v>
      </x:c>
      <x:c r="D8" s="33" t="str">
        <x:v>45–60 sek</x:v>
      </x:c>
      <x:c r="E8" s="33" t="str">
        <x:v>Pastga to‘liq tushib, yuqorida pauza</x:v>
      </x:c>
      <x:c r="F8" s="33" t="str"/>
      <x:c r="G8" s="33" t="str"/>
      <x:c r="H8" s="33" t="str"/>
    </x:row>
    <x:row r="9">
      <x:c r="A9" s="33" t="str">
        <x:v>Shanba — Oyoq</x:v>
      </x:c>
      <x:c r="B9" s="33" t="str">
        <x:v>Plank</x:v>
      </x:c>
      <x:c r="C9" s="33" t="str">
        <x:v>3 × 45–60 sek</x:v>
      </x:c>
      <x:c r="D9" s="33" t="str">
        <x:v>45 sek</x:v>
      </x:c>
      <x:c r="E9" s="33" t="str">
        <x:v>Belni bukmang</x:v>
      </x:c>
      <x:c r="F9" s="33" t="str"/>
      <x:c r="G9" s="33" t="str"/>
      <x:c r="H9" s="33" t="str"/>
    </x:row>
    <x:row r="10">
      <x:c r="A10" s="33" t="str">
        <x:v>Shanba — Oyoq</x:v>
      </x:c>
      <x:c r="B10" s="33" t="str">
        <x:v>Hanging Knee Raise yoki Crunch</x:v>
      </x:c>
      <x:c r="C10" s="33" t="str">
        <x:v>3 × 12–15</x:v>
      </x:c>
      <x:c r="D10" s="33" t="str">
        <x:v>45–60 sek</x:v>
      </x:c>
      <x:c r="E10" s="33" t="str">
        <x:v>Qorinni nazoratli ishlating</x:v>
      </x:c>
      <x:c r="F10" s="33" t="str"/>
      <x:c r="G10" s="33" t="str"/>
      <x:c r="H10" s="33" t="str"/>
    </x:row>
    <x:row r="11">
      <x:c r="A11" s="33" t="str">
        <x:v>Yakshanba — Upper</x:v>
      </x:c>
      <x:c r="B11" s="33" t="str">
        <x:v>Qizish: yelka aylantirish/rezinka</x:v>
      </x:c>
      <x:c r="C11" s="33" t="str">
        <x:v>5–8 daq</x:v>
      </x:c>
      <x:c r="D11" s="33" t="str">
        <x:v>-</x:v>
      </x:c>
      <x:c r="E11" s="33" t="str">
        <x:v>Yelka va kurakni tayyorlash</x:v>
      </x:c>
      <x:c r="F11" s="33" t="str"/>
      <x:c r="G11" s="33" t="str"/>
      <x:c r="H11" s="33" t="str"/>
    </x:row>
    <x:row r="12">
      <x:c r="A12" s="33" t="str">
        <x:v>Yakshanba — Upper</x:v>
      </x:c>
      <x:c r="B12" s="33" t="str">
        <x:v>Bench Press yoki Dumbbell Press</x:v>
      </x:c>
      <x:c r="C12" s="33" t="str">
        <x:v>4 × 8–12</x:v>
      </x:c>
      <x:c r="D12" s="33" t="str">
        <x:v>90–120 sek</x:v>
      </x:c>
      <x:c r="E12" s="33" t="str">
        <x:v>Ko‘krak, texnika toza</x:v>
      </x:c>
      <x:c r="F12" s="33" t="str"/>
      <x:c r="G12" s="33" t="str"/>
      <x:c r="H12" s="33" t="str"/>
    </x:row>
    <x:row r="13">
      <x:c r="A13" s="33" t="str">
        <x:v>Yakshanba — Upper</x:v>
      </x:c>
      <x:c r="B13" s="33" t="str">
        <x:v>Lat Pulldown yoki Pull-up assist</x:v>
      </x:c>
      <x:c r="C13" s="33" t="str">
        <x:v>4 × 8–12</x:v>
      </x:c>
      <x:c r="D13" s="33" t="str">
        <x:v>90 sek</x:v>
      </x:c>
      <x:c r="E13" s="33" t="str">
        <x:v>Kurakni pastga torting, orqani his qiling</x:v>
      </x:c>
      <x:c r="F13" s="33" t="str"/>
      <x:c r="G13" s="33" t="str"/>
      <x:c r="H13" s="33" t="str"/>
    </x:row>
    <x:row r="14">
      <x:c r="A14" s="33" t="str">
        <x:v>Yakshanba — Upper</x:v>
      </x:c>
      <x:c r="B14" s="33" t="str">
        <x:v>Seated Cable Row</x:v>
      </x:c>
      <x:c r="C14" s="33" t="str">
        <x:v>3 × 10–12</x:v>
      </x:c>
      <x:c r="D14" s="33" t="str">
        <x:v>75–90 sek</x:v>
      </x:c>
      <x:c r="E14" s="33" t="str">
        <x:v>Orqa qalinligi, gavda qimirlamasin</x:v>
      </x:c>
      <x:c r="F14" s="33" t="str"/>
      <x:c r="G14" s="33" t="str"/>
      <x:c r="H14" s="33" t="str"/>
    </x:row>
    <x:row r="15">
      <x:c r="A15" s="33" t="str">
        <x:v>Yakshanba — Upper</x:v>
      </x:c>
      <x:c r="B15" s="33" t="str">
        <x:v>Dumbbell Shoulder Press</x:v>
      </x:c>
      <x:c r="C15" s="33" t="str">
        <x:v>3 × 8–10</x:v>
      </x:c>
      <x:c r="D15" s="33" t="str">
        <x:v>90 sek</x:v>
      </x:c>
      <x:c r="E15" s="33" t="str">
        <x:v>Yelkani ortiqcha zo‘riqtirmang</x:v>
      </x:c>
      <x:c r="F15" s="33" t="str"/>
      <x:c r="G15" s="33" t="str"/>
      <x:c r="H15" s="33" t="str"/>
    </x:row>
    <x:row r="16">
      <x:c r="A16" s="33" t="str">
        <x:v>Yakshanba — Upper</x:v>
      </x:c>
      <x:c r="B16" s="33" t="str">
        <x:v>Lateral Raise</x:v>
      </x:c>
      <x:c r="C16" s="33" t="str">
        <x:v>3 × 12–15</x:v>
      </x:c>
      <x:c r="D16" s="33" t="str">
        <x:v>45–60 sek</x:v>
      </x:c>
      <x:c r="E16" s="33" t="str">
        <x:v>Yelka shakli, yengilroq vazn</x:v>
      </x:c>
      <x:c r="F16" s="33" t="str"/>
      <x:c r="G16" s="33" t="str"/>
      <x:c r="H16" s="33" t="str"/>
    </x:row>
    <x:row r="17">
      <x:c r="A17" s="33" t="str">
        <x:v>Yakshanba — Upper</x:v>
      </x:c>
      <x:c r="B17" s="33" t="str">
        <x:v>Face Pull</x:v>
      </x:c>
      <x:c r="C17" s="33" t="str">
        <x:v>3 × 12–15</x:v>
      </x:c>
      <x:c r="D17" s="33" t="str">
        <x:v>45–60 sek</x:v>
      </x:c>
      <x:c r="E17" s="33" t="str">
        <x:v>Yelka sog‘lomligi, orqa deltalari</x:v>
      </x:c>
      <x:c r="F17" s="33" t="str"/>
      <x:c r="G17" s="33" t="str"/>
      <x:c r="H17" s="33" t="str"/>
    </x:row>
    <x:row r="18">
      <x:c r="A18" s="33" t="str">
        <x:v>Yakshanba — Upper</x:v>
      </x:c>
      <x:c r="B18" s="33" t="str">
        <x:v>Biceps Curl</x:v>
      </x:c>
      <x:c r="C18" s="33" t="str">
        <x:v>3 × 10–12</x:v>
      </x:c>
      <x:c r="D18" s="33" t="str">
        <x:v>60 sek</x:v>
      </x:c>
      <x:c r="E18" s="33" t="str">
        <x:v>Qo‘lni tebratmang</x:v>
      </x:c>
      <x:c r="F18" s="33" t="str"/>
      <x:c r="G18" s="33" t="str"/>
      <x:c r="H18" s="33" t="str"/>
    </x:row>
    <x:row r="19">
      <x:c r="A19" s="33" t="str">
        <x:v>Yakshanba — Upper</x:v>
      </x:c>
      <x:c r="B19" s="33" t="str">
        <x:v>Triceps Pushdown</x:v>
      </x:c>
      <x:c r="C19" s="33" t="str">
        <x:v>3 × 10–12</x:v>
      </x:c>
      <x:c r="D19" s="33" t="str">
        <x:v>60 sek</x:v>
      </x:c>
      <x:c r="E19" s="33" t="str">
        <x:v>Tirsak joyida qolsin</x:v>
      </x:c>
      <x:c r="F19" s="33" t="str"/>
      <x:c r="G19" s="33" t="str"/>
      <x:c r="H19" s="33" t="str"/>
    </x:row>
    <x:row r="20">
      <x:c r="A20" s="33" t="str">
        <x:v>Yakshanba — Upper</x:v>
      </x:c>
      <x:c r="B20" s="33" t="str">
        <x:v>Side Plank</x:v>
      </x:c>
      <x:c r="C20" s="33" t="str">
        <x:v>2 × 30–45 sek</x:v>
      </x:c>
      <x:c r="D20" s="33" t="str">
        <x:v>45 sek</x:v>
      </x:c>
      <x:c r="E20" s="33" t="str">
        <x:v>Core stabilizatsiya</x:v>
      </x:c>
      <x:c r="F20" s="33" t="str"/>
      <x:c r="G20" s="33" t="str"/>
      <x:c r="H20" s="33" t="str"/>
    </x:row>
  </x:sheetData>
  <x:pageMargins left="0.7" right="0.7" top="0.75" bottom="0.75" header="0.3" footer="0.3"/>
  <x:tableParts count="1">
    <x:tablePart xmlns:r="http://schemas.openxmlformats.org/officeDocument/2006/relationships" r:id="R7efa1719543142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4" hidden="0" customWidth="1"/>
    <x:col min="5" max="5" width="10" hidden="0" customWidth="1"/>
    <x:col min="6" max="6" width="36" hidden="0" customWidth="1"/>
    <x:col min="7" max="7" width="36" hidden="0" customWidth="1"/>
  </x:cols>
  <x:sheetData>
    <x:row r="1" ht="15" hidden="0" customHeight="1">
      <x:c r="A1" s="16" t="str">
        <x:v>Kun turi</x:v>
      </x:c>
      <x:c r="B1" s="16" t="str">
        <x:v>Kkal</x:v>
      </x:c>
      <x:c r="C1" s="16" t="str">
        <x:v>Oqsil (g)</x:v>
      </x:c>
      <x:c r="D1" s="16" t="str">
        <x:v>Uglevod (g)</x:v>
      </x:c>
      <x:c r="E1" s="16" t="str">
        <x:v>Yog‘ (g)</x:v>
      </x:c>
      <x:c r="F1" s="16" t="str">
        <x:v>Qachon ishlatiladi</x:v>
      </x:c>
      <x:c r="G1" s="16" t="str">
        <x:v>Ovqatlanish izohi</x:v>
      </x:c>
    </x:row>
    <x:row r="2">
      <x:c r="A2" s="32" t="str">
        <x:v>Boks kuni</x:v>
      </x:c>
      <x:c r="B2" s="32" t="n">
        <x:v>2450</x:v>
      </x:c>
      <x:c r="C2" s="32" t="n">
        <x:v>170</x:v>
      </x:c>
      <x:c r="D2" s="32" t="n">
        <x:v>285</x:v>
      </x:c>
      <x:c r="E2" s="32" t="n">
        <x:v>70</x:v>
      </x:c>
      <x:c r="F2" s="32" t="str">
        <x:v>Seshanba va payshanba</x:v>
      </x:c>
      <x:c r="G2" s="32" t="str"/>
    </x:row>
    <x:row r="3">
      <x:c r="A3" s="32" t="str">
        <x:v>Oyoq kuni</x:v>
      </x:c>
      <x:c r="B3" s="32" t="n">
        <x:v>2500</x:v>
      </x:c>
      <x:c r="C3" s="32" t="n">
        <x:v>170</x:v>
      </x:c>
      <x:c r="D3" s="32" t="n">
        <x:v>300</x:v>
      </x:c>
      <x:c r="E3" s="32" t="n">
        <x:v>70</x:v>
      </x:c>
      <x:c r="F3" s="32" t="str">
        <x:v>Shanba gym</x:v>
      </x:c>
      <x:c r="G3" s="32" t="str"/>
    </x:row>
    <x:row r="4">
      <x:c r="A4" s="32" t="str">
        <x:v>Upper/Suzish</x:v>
      </x:c>
      <x:c r="B4" s="32" t="n">
        <x:v>2400</x:v>
      </x:c>
      <x:c r="C4" s="32" t="n">
        <x:v>170</x:v>
      </x:c>
      <x:c r="D4" s="32" t="n">
        <x:v>270</x:v>
      </x:c>
      <x:c r="E4" s="32" t="n">
        <x:v>70</x:v>
      </x:c>
      <x:c r="F4" s="32" t="str">
        <x:v>Yakshanba upper yoki suzish</x:v>
      </x:c>
      <x:c r="G4" s="32" t="str"/>
    </x:row>
    <x:row r="5">
      <x:c r="A5" s="32" t="str">
        <x:v>Yengil suzish/tiklanish</x:v>
      </x:c>
      <x:c r="B5" s="32" t="n">
        <x:v>2350</x:v>
      </x:c>
      <x:c r="C5" s="32" t="n">
        <x:v>170</x:v>
      </x:c>
      <x:c r="D5" s="32" t="n">
        <x:v>255</x:v>
      </x:c>
      <x:c r="E5" s="32" t="n">
        <x:v>70</x:v>
      </x:c>
      <x:c r="F5" s="32" t="str">
        <x:v>Dushanba optional suzish</x:v>
      </x:c>
      <x:c r="G5" s="32" t="str"/>
    </x:row>
    <x:row r="6">
      <x:c r="A6" s="32" t="str">
        <x:v>Dam olish/ofis</x:v>
      </x:c>
      <x:c r="B6" s="32" t="n">
        <x:v>2200</x:v>
      </x:c>
      <x:c r="C6" s="32" t="n">
        <x:v>170</x:v>
      </x:c>
      <x:c r="D6" s="32" t="n">
        <x:v>210</x:v>
      </x:c>
      <x:c r="E6" s="32" t="n">
        <x:v>75</x:v>
      </x:c>
      <x:c r="F6" s="32" t="str">
        <x:v>Chorshanba/juma va boshqa dam kunlari</x:v>
      </x:c>
      <x:c r="G6" s="32" t="str"/>
    </x:row>
    <x:row r="9">
      <x:c r="A9" s="39" t="str">
        <x:v>Ovqatlanish konstruktori (oddiy formula)</x:v>
      </x:c>
    </x:row>
    <x:row r="10">
      <x:c r="A10" s="16" t="str">
        <x:v>Vaqt</x:v>
      </x:c>
      <x:c r="B10" s="16" t="str">
        <x:v>Variant</x:v>
      </x:c>
      <x:c r="C10" s="16" t="str">
        <x:v>Maqsad</x:v>
      </x:c>
      <x:c r="D10" s="16" t="str">
        <x:v>Izoh</x:v>
      </x:c>
    </x:row>
    <x:row r="11">
      <x:c r="A11" s="32" t="str">
        <x:v>Nonushta</x:v>
      </x:c>
      <x:c r="B11" s="32" t="str">
        <x:v>Tuxum + suli/yorma + qatiq</x:v>
      </x:c>
      <x:c r="C11" s="32" t="str">
        <x:v>Oqsil + sekin uglevod</x:v>
      </x:c>
      <x:c r="D11" s="32" t="str">
        <x:v>Boks/gym kuni uglevodni qoldiring</x:v>
      </x:c>
    </x:row>
    <x:row r="12">
      <x:c r="A12" s="32" t="str">
        <x:v>Tushlik</x:v>
      </x:c>
      <x:c r="B12" s="32" t="str">
        <x:v>Tovuq/mol go‘shti + guruch/grechka + salat</x:v>
      </x:c>
      <x:c r="C12" s="32" t="str">
        <x:v>Asosiy oqsil va energiya</x:v>
      </x:c>
      <x:c r="D12" s="32" t="str">
        <x:v>Yog‘ni oshirib yubormang</x:v>
      </x:c>
    </x:row>
    <x:row r="13">
      <x:c r="A13" s="32" t="str">
        <x:v>Trening oldi</x:v>
      </x:c>
      <x:c r="B13" s="32" t="str">
        <x:v>Banan yoki guruch/kartoshka + oqsil</x:v>
      </x:c>
      <x:c r="C13" s="32" t="str">
        <x:v>Energiya</x:v>
      </x:c>
      <x:c r="D13" s="32" t="str">
        <x:v>Boksdan 1.5–2 soat oldin yaxshi</x:v>
      </x:c>
    </x:row>
    <x:row r="14">
      <x:c r="A14" s="32" t="str">
        <x:v>Treningdan keyin</x:v>
      </x:c>
      <x:c r="B14" s="32" t="str">
        <x:v>Tovuq/tvorog/suzma + uglevod</x:v>
      </x:c>
      <x:c r="C14" s="32" t="str">
        <x:v>Tiklanish</x:v>
      </x:c>
      <x:c r="D14" s="32" t="str">
        <x:v>Kreatinni istalgan payt ichish mumkin</x:v>
      </x:c>
    </x:row>
    <x:row r="15">
      <x:c r="A15" s="32" t="str">
        <x:v>Kechki ovqat</x:v>
      </x:c>
      <x:c r="B15" s="32" t="str">
        <x:v>Tvorog/suzma yoki tovuq + sabzavot</x:v>
      </x:c>
      <x:c r="C15" s="32" t="str">
        <x:v>Oqsil, kamroq kaloriya</x:v>
      </x:c>
      <x:c r="D15" s="32" t="str">
        <x:v>Kechasi juda yog‘li ovqat qilmang</x:v>
      </x:c>
    </x:row>
  </x:sheetData>
  <x:mergeCells>
    <x:mergeCell ref="A9:G9"/>
  </x:mergeCells>
  <x:pageMargins left="0.7" right="0.7" top="0.75" bottom="0.75" header="0.3" footer="0.3"/>
  <x:tableParts count="1">
    <x:tablePart xmlns:r="http://schemas.openxmlformats.org/officeDocument/2006/relationships" r:id="R25afe028040a49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16" hidden="0" customWidth="1"/>
    <x:col min="4" max="4" width="12" hidden="0" customWidth="1"/>
    <x:col min="5" max="5" width="22" hidden="0" customWidth="1"/>
    <x:col min="6" max="6" width="42" hidden="0" customWidth="1"/>
    <x:col min="7" max="7" width="10" hidden="0" customWidth="1"/>
    <x:col min="8" max="8" width="11" hidden="0" customWidth="1"/>
    <x:col min="9" max="9" width="12" hidden="0" customWidth="1"/>
    <x:col min="10" max="10" width="10" hidden="0" customWidth="1"/>
    <x:col min="11" max="11" width="16" hidden="0" customWidth="1"/>
    <x:col min="12" max="12" width="14" hidden="0" customWidth="1"/>
    <x:col min="13" max="13" width="11" hidden="0" customWidth="1"/>
    <x:col min="14" max="14" width="12" hidden="0" customWidth="1"/>
    <x:col min="15" max="15" width="2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16" max="16" width="18" hidden="0" customWidth="1"/>
    <x:col min="23" max="23" width="28" hidden="0" customWidth="1"/>
    <x:col min="24" max="24" width="28" hidden="0" customWidth="1"/>
    <x:col min="25" max="25" width="28" hidden="0" customWidth="1"/>
    <x:col min="22" max="22" width="12" hidden="0" customWidth="1"/>
  </x:cols>
  <x:sheetData>
    <x:row r="1" ht="28" hidden="0" customHeight="1">
      <x:c r="A1" s="47" t="str">
        <x:v>30 KUNLIK PROGRESS TRACKING</x:v>
      </x:c>
      <x:c r="B1" s="47" t="str"/>
      <x:c r="C1" s="47" t="str"/>
      <x:c r="D1" s="47" t="str"/>
      <x:c r="E1" s="47" t="str"/>
      <x:c r="F1" s="47" t="str"/>
      <x:c r="G1" s="47" t="str"/>
      <x:c r="H1" s="47" t="str"/>
      <x:c r="I1" s="47" t="str"/>
      <x:c r="J1" s="47" t="str"/>
      <x:c r="K1" s="47" t="str"/>
      <x:c r="L1" s="47" t="str"/>
      <x:c r="M1" s="47" t="str"/>
      <x:c r="N1" s="47" t="str"/>
      <x:c r="O1" s="47" t="str"/>
      <x:c r="W1" s="99" t="str">
        <x:v>Baholash mezonlari</x:v>
      </x:c>
      <x:c r="X1" s="99"/>
      <x:c r="Y1" s="99"/>
    </x:row>
    <x:row r="2" ht="36" customHeight="1">
      <x:c r="A2" s="130" t="str">
        <x:v>No</x:v>
      </x:c>
      <x:c r="B2" s="130" t="str">
        <x:v>Sana</x:v>
      </x:c>
      <x:c r="C2" s="130" t="str">
        <x:v>Hafta kuni</x:v>
      </x:c>
      <x:c r="D2" s="130" t="str">
        <x:v>Hafta</x:v>
      </x:c>
      <x:c r="E2" s="130" t="str">
        <x:v>Kun turi</x:v>
      </x:c>
      <x:c r="F2" s="130" t="str">
        <x:v>Mashg‘ulot rejasi</x:v>
      </x:c>
      <x:c r="G2" s="130" t="str">
        <x:v>Kkal</x:v>
      </x:c>
      <x:c r="H2" s="130" t="str">
        <x:v>Oqsil (g)</x:v>
      </x:c>
      <x:c r="I2" s="130" t="str">
        <x:v>Uglevod (g)</x:v>
      </x:c>
      <x:c r="J2" s="130" t="str">
        <x:v>Yog‘ (g)</x:v>
      </x:c>
      <x:c r="K2" s="130" t="str">
        <x:v>Ichilgan suv (L)</x:v>
      </x:c>
      <x:c r="L2" s="130" t="str">
        <x:v>Uyqu (soat)</x:v>
      </x:c>
      <x:c r="M2" s="130" t="str">
        <x:v>Vazn (kg)</x:v>
      </x:c>
      <x:c r="N2" s="130" t="str">
        <x:v>Bajarildi?</x:v>
      </x:c>
      <x:c r="O2" s="130" t="str">
        <x:v>Qo‘shimcha izoh</x:v>
      </x:c>
      <x:c r="P2" s="130" t="str">
        <x:v>Sport bajarilishi (%)</x:v>
      </x:c>
      <x:c r="Q2" s="130" t="str">
        <x:v>Ovqatlanish amal (%)</x:v>
      </x:c>
      <x:c r="R2" s="130" t="str">
        <x:v>Suv bajarilishi (%)</x:v>
      </x:c>
      <x:c r="S2" s="130" t="str">
        <x:v>Uyqu bajarilishi (%)</x:v>
      </x:c>
      <x:c r="T2" s="130" t="str">
        <x:v>Umumiy baho (%)</x:v>
      </x:c>
      <x:c r="U2" s="130" t="str">
        <x:v>Baho</x:v>
      </x:c>
      <x:c r="V2" s="213" t="str">
        <x:v>Qadam</x:v>
      </x:c>
      <x:c r="W2" s="123" t="str">
        <x:v>Ko‘rsatkich</x:v>
      </x:c>
      <x:c r="X2" s="123" t="str">
        <x:v>Formula / qoida</x:v>
      </x:c>
      <x:c r="Y2" s="123" t="str">
        <x:v>Izoh</x:v>
      </x:c>
    </x:row>
    <x:row r="3" ht="38" customHeight="1">
      <x:c r="A3" s="107" t="n">
        <x:v>1</x:v>
      </x:c>
      <x:c r="B3" s="108" t="n">
        <x:v>46154</x:v>
      </x:c>
      <x:c r="C3" s="107" t="str">
        <x:v>Seshanba</x:v>
      </x:c>
      <x:c r="D3" s="107" t="str">
        <x:v>Hafta 1</x:v>
      </x:c>
      <x:c r="E3" s="109" t="str">
        <x:v>Boks kuni</x:v>
      </x:c>
      <x:c r="F3" s="110" t="str">
        <x:v>Boks: texnika, kardio, koordinatsiya</x:v>
      </x:c>
      <x:c r="G3" s="111" t="n">
        <x:f>VLOOKUP($E3,Ovqatlanish!$A$3:$E$8,2,FALSE)</x:f>
        <x:v>2450</x:v>
      </x:c>
      <x:c r="H3" s="111" t="n">
        <x:f>VLOOKUP($E3,Ovqatlanish!$A$3:$E$8,3,FALSE)</x:f>
        <x:v>170</x:v>
      </x:c>
      <x:c r="I3" s="111" t="n">
        <x:f>VLOOKUP($E3,Ovqatlanish!$A$3:$E$8,4,FALSE)</x:f>
        <x:v>285</x:v>
      </x:c>
      <x:c r="J3" s="111" t="n">
        <x:f>VLOOKUP($E3,Ovqatlanish!$A$3:$E$8,5,FALSE)</x:f>
        <x:v>70</x:v>
      </x:c>
      <x:c r="K3" s="148" t="str"/>
      <x:c r="L3" s="148" t="str"/>
      <x:c r="M3" s="149" t="str"/>
      <x:c r="N3" s="150" t="str"/>
      <x:c r="O3" s="115" t="str"/>
      <x:c r="P3" s="155"/>
      <x:c r="Q3" s="155"/>
      <x:c r="R3" s="156" t="str">
        <x:f>IF(K3="","",ROUND(MIN(K3/Portal_sozlamalari!$B$8*100,100),0))</x:f>
      </x:c>
      <x:c r="S3" s="157" t="str">
        <x:f>IF(L3="","",ROUND(MIN(L3/Portal_sozlamalari!$B$9*100,100),0))</x:f>
      </x:c>
      <x:c r="T3" s="157" t="str">
        <x:f>IF(OR(ISNUMBER(SEARCH("Dam",E3)),ISNUMBER(SEARCH("tiklanish",F3)),ISNUMBER(SEARCH("yengil",F3)),ISNUMBER(SEARCH("ofis",F3))),IF(OR(COUNT(Q3:S3)&lt;3,AND(P3="",V3="")),"",ROUND((MAX(N(P3),MIN(N(V3)/Portal_sozlamalari!$B$10*100,100))*Portal_sozlamalari!$B$4+Q3*Portal_sozlamalari!$B$5+S3*Portal_sozlamalari!$B$6+R3*Portal_sozlamalari!$B$7)/SUM(Portal_sozlamalari!$B$4:$B$7),0)),IF(COUNT(P3:S3)&lt;4,"",ROUND((P3*Portal_sozlamalari!$B$4+Q3*Portal_sozlamalari!$B$5+S3*Portal_sozlamalari!$B$6+R3*Portal_sozlamalari!$B$7)/SUM(Portal_sozlamalari!$B$4:$B$7),0)))</x:f>
      </x:c>
      <x:c r="U3" s="154" t="str">
        <x:f>IF(T3="","",IF(T3&gt;=90,"A’lo",IF(T3&gt;=80,"Yaxshi",IF(T3&gt;=70,"Qoniqarli",IF(T3&gt;=60,"O‘rtacha","Past")))))</x:f>
      </x:c>
      <x:c r="W3" s="124" t="str">
        <x:v>Sport bajarilishi (%)</x:v>
      </x:c>
      <x:c r="X3" s="124" t="str">
        <x:v>Qo‘lda kiriting: 0–100%</x:v>
      </x:c>
      <x:c r="Y3" s="124" t="str">
        <x:v>Aktiv mashg‘ulot kunlari uchun</x:v>
      </x:c>
    </x:row>
    <x:row r="4" ht="38" customHeight="1">
      <x:c r="A4" s="107" t="n">
        <x:v>2</x:v>
      </x:c>
      <x:c r="B4" s="108" t="n">
        <x:v>46155</x:v>
      </x:c>
      <x:c r="C4" s="107" t="str">
        <x:v>Chorshanba</x:v>
      </x:c>
      <x:c r="D4" s="107" t="str">
        <x:v>Hafta 1</x:v>
      </x:c>
      <x:c r="E4" s="109" t="str">
        <x:v>Dam kuni</x:v>
      </x:c>
      <x:c r="F4" s="110" t="str">
        <x:v>Yurish 20–40 daqiqa, stretching, tiklanish</x:v>
      </x:c>
      <x:c r="G4" s="111" t="n">
        <x:f>VLOOKUP($E4,Ovqatlanish!$A$3:$E$8,2,FALSE)</x:f>
        <x:v>2200</x:v>
      </x:c>
      <x:c r="H4" s="111" t="n">
        <x:f>VLOOKUP($E4,Ovqatlanish!$A$3:$E$8,3,FALSE)</x:f>
        <x:v>170</x:v>
      </x:c>
      <x:c r="I4" s="111" t="n">
        <x:f>VLOOKUP($E4,Ovqatlanish!$A$3:$E$8,4,FALSE)</x:f>
        <x:v>210</x:v>
      </x:c>
      <x:c r="J4" s="111" t="n">
        <x:f>VLOOKUP($E4,Ovqatlanish!$A$3:$E$8,5,FALSE)</x:f>
        <x:v>75</x:v>
      </x:c>
      <x:c r="K4" s="148" t="str"/>
      <x:c r="L4" s="148" t="str"/>
      <x:c r="M4" s="149" t="str"/>
      <x:c r="N4" s="150" t="str"/>
      <x:c r="O4" s="115" t="str"/>
      <x:c r="P4" s="155"/>
      <x:c r="Q4" s="155"/>
      <x:c r="R4" s="157" t="str">
        <x:f>IF(K4="","",ROUND(MIN(K4/Portal_sozlamalari!$B$8*100,100),0))</x:f>
      </x:c>
      <x:c r="S4" s="157" t="str">
        <x:f>IF(L4="","",ROUND(MIN(L4/Portal_sozlamalari!$B$9*100,100),0))</x:f>
      </x:c>
      <x:c r="T4" s="157" t="str">
        <x:f>IF(OR(ISNUMBER(SEARCH("Dam",E4)),ISNUMBER(SEARCH("tiklanish",F4)),ISNUMBER(SEARCH("yengil",F4)),ISNUMBER(SEARCH("ofis",F4))),IF(OR(COUNT(Q4:S4)&lt;3,AND(P4="",V4="")),"",ROUND((MAX(N(P4),MIN(N(V4)/Portal_sozlamalari!$B$10*100,100))*Portal_sozlamalari!$B$4+Q4*Portal_sozlamalari!$B$5+S4*Portal_sozlamalari!$B$6+R4*Portal_sozlamalari!$B$7)/SUM(Portal_sozlamalari!$B$4:$B$7),0)),IF(COUNT(P4:S4)&lt;4,"",ROUND((P4*Portal_sozlamalari!$B$4+Q4*Portal_sozlamalari!$B$5+S4*Portal_sozlamalari!$B$6+R4*Portal_sozlamalari!$B$7)/SUM(Portal_sozlamalari!$B$4:$B$7),0)))</x:f>
      </x:c>
      <x:c r="U4" s="154" t="str">
        <x:f>IF(T4="","",IF(T4&gt;=90,"A’lo",IF(T4&gt;=80,"Yaxshi",IF(T4&gt;=70,"Qoniqarli",IF(T4&gt;=60,"O‘rtacha","Past")))))</x:f>
      </x:c>
      <x:c r="W4" s="124" t="str">
        <x:v>Ovqatlanish amal (%)</x:v>
      </x:c>
      <x:c r="X4" s="124" t="str">
        <x:v>Qo‘lda kiriting: 0–100%</x:v>
      </x:c>
      <x:c r="Y4" s="124" t="str">
        <x:v>Kkal/makro reja bo‘yicha</x:v>
      </x:c>
    </x:row>
    <x:row r="5" ht="38" customHeight="1">
      <x:c r="A5" s="107" t="n">
        <x:v>3</x:v>
      </x:c>
      <x:c r="B5" s="108" t="n">
        <x:v>46156</x:v>
      </x:c>
      <x:c r="C5" s="107" t="str">
        <x:v>Payshanba</x:v>
      </x:c>
      <x:c r="D5" s="107" t="str">
        <x:v>Hafta 1</x:v>
      </x:c>
      <x:c r="E5" s="109" t="str">
        <x:v>Boks kuni</x:v>
      </x:c>
      <x:c r="F5" s="110" t="str">
        <x:v>Boks: sparring/texnika, chidamlilik</x:v>
      </x:c>
      <x:c r="G5" s="111" t="n">
        <x:f>VLOOKUP($E5,Ovqatlanish!$A$3:$E$8,2,FALSE)</x:f>
        <x:v>2450</x:v>
      </x:c>
      <x:c r="H5" s="111" t="n">
        <x:f>VLOOKUP($E5,Ovqatlanish!$A$3:$E$8,3,FALSE)</x:f>
        <x:v>170</x:v>
      </x:c>
      <x:c r="I5" s="111" t="n">
        <x:f>VLOOKUP($E5,Ovqatlanish!$A$3:$E$8,4,FALSE)</x:f>
        <x:v>285</x:v>
      </x:c>
      <x:c r="J5" s="111" t="n">
        <x:f>VLOOKUP($E5,Ovqatlanish!$A$3:$E$8,5,FALSE)</x:f>
        <x:v>70</x:v>
      </x:c>
      <x:c r="K5" s="148" t="str"/>
      <x:c r="L5" s="148" t="str"/>
      <x:c r="M5" s="149" t="str"/>
      <x:c r="N5" s="150" t="str"/>
      <x:c r="O5" s="115" t="str"/>
      <x:c r="P5" s="155"/>
      <x:c r="Q5" s="155"/>
      <x:c r="R5" s="157" t="str">
        <x:f>IF(K5="","",ROUND(MIN(K5/Portal_sozlamalari!$B$8*100,100),0))</x:f>
      </x:c>
      <x:c r="S5" s="157" t="str">
        <x:f>IF(L5="","",ROUND(MIN(L5/Portal_sozlamalari!$B$9*100,100),0))</x:f>
      </x:c>
      <x:c r="T5" s="157" t="str">
        <x:f>IF(OR(ISNUMBER(SEARCH("Dam",E5)),ISNUMBER(SEARCH("tiklanish",F5)),ISNUMBER(SEARCH("yengil",F5)),ISNUMBER(SEARCH("ofis",F5))),IF(OR(COUNT(Q5:S5)&lt;3,AND(P5="",V5="")),"",ROUND((MAX(N(P5),MIN(N(V5)/Portal_sozlamalari!$B$10*100,100))*Portal_sozlamalari!$B$4+Q5*Portal_sozlamalari!$B$5+S5*Portal_sozlamalari!$B$6+R5*Portal_sozlamalari!$B$7)/SUM(Portal_sozlamalari!$B$4:$B$7),0)),IF(COUNT(P5:S5)&lt;4,"",ROUND((P5*Portal_sozlamalari!$B$4+Q5*Portal_sozlamalari!$B$5+S5*Portal_sozlamalari!$B$6+R5*Portal_sozlamalari!$B$7)/SUM(Portal_sozlamalari!$B$4:$B$7),0)))</x:f>
      </x:c>
      <x:c r="U5" s="154" t="str">
        <x:f>IF(T5="","",IF(T5&gt;=90,"A’lo",IF(T5&gt;=80,"Yaxshi",IF(T5&gt;=70,"Qoniqarli",IF(T5&gt;=60,"O‘rtacha","Past")))))</x:f>
      </x:c>
      <x:c r="W5" s="124" t="str">
        <x:v>Suv bajarilishi (%)</x:v>
      </x:c>
      <x:c r="X5" s="124" t="str">
        <x:v>Suv L / maqsad L</x:v>
      </x:c>
      <x:c r="Y5" s="124" t="str">
        <x:v>Maqsad Portal_sozlamalari sahifasidan olinadi</x:v>
      </x:c>
    </x:row>
    <x:row r="6" ht="38" customHeight="1">
      <x:c r="A6" s="107" t="n">
        <x:v>4</x:v>
      </x:c>
      <x:c r="B6" s="108" t="n">
        <x:v>46157</x:v>
      </x:c>
      <x:c r="C6" s="107" t="str">
        <x:v>Juma</x:v>
      </x:c>
      <x:c r="D6" s="107" t="str">
        <x:v>Hafta 1</x:v>
      </x:c>
      <x:c r="E6" s="109" t="str">
        <x:v>Dam kuni</x:v>
      </x:c>
      <x:c r="F6" s="110" t="str">
        <x:v>Yurish 20–40 daqiqa, stretching, tiklanish</x:v>
      </x:c>
      <x:c r="G6" s="111" t="n">
        <x:f>VLOOKUP($E6,Ovqatlanish!$A$3:$E$8,2,FALSE)</x:f>
        <x:v>2200</x:v>
      </x:c>
      <x:c r="H6" s="111" t="n">
        <x:f>VLOOKUP($E6,Ovqatlanish!$A$3:$E$8,3,FALSE)</x:f>
        <x:v>170</x:v>
      </x:c>
      <x:c r="I6" s="111" t="n">
        <x:f>VLOOKUP($E6,Ovqatlanish!$A$3:$E$8,4,FALSE)</x:f>
        <x:v>210</x:v>
      </x:c>
      <x:c r="J6" s="111" t="n">
        <x:f>VLOOKUP($E6,Ovqatlanish!$A$3:$E$8,5,FALSE)</x:f>
        <x:v>75</x:v>
      </x:c>
      <x:c r="K6" s="148" t="str"/>
      <x:c r="L6" s="148" t="str"/>
      <x:c r="M6" s="149" t="str"/>
      <x:c r="N6" s="150" t="str"/>
      <x:c r="O6" s="115" t="str"/>
      <x:c r="P6" s="155"/>
      <x:c r="Q6" s="155"/>
      <x:c r="R6" s="157" t="str">
        <x:f>IF(K6="","",ROUND(MIN(K6/Portal_sozlamalari!$B$8*100,100),0))</x:f>
      </x:c>
      <x:c r="S6" s="157" t="str">
        <x:f>IF(L6="","",ROUND(MIN(L6/Portal_sozlamalari!$B$9*100,100),0))</x:f>
      </x:c>
      <x:c r="T6" s="157" t="str">
        <x:f>IF(OR(ISNUMBER(SEARCH("Dam",E6)),ISNUMBER(SEARCH("tiklanish",F6)),ISNUMBER(SEARCH("yengil",F6)),ISNUMBER(SEARCH("ofis",F6))),IF(OR(COUNT(Q6:S6)&lt;3,AND(P6="",V6="")),"",ROUND((MAX(N(P6),MIN(N(V6)/Portal_sozlamalari!$B$10*100,100))*Portal_sozlamalari!$B$4+Q6*Portal_sozlamalari!$B$5+S6*Portal_sozlamalari!$B$6+R6*Portal_sozlamalari!$B$7)/SUM(Portal_sozlamalari!$B$4:$B$7),0)),IF(COUNT(P6:S6)&lt;4,"",ROUND((P6*Portal_sozlamalari!$B$4+Q6*Portal_sozlamalari!$B$5+S6*Portal_sozlamalari!$B$6+R6*Portal_sozlamalari!$B$7)/SUM(Portal_sozlamalari!$B$4:$B$7),0)))</x:f>
      </x:c>
      <x:c r="U6" s="154" t="str">
        <x:f>IF(T6="","",IF(T6&gt;=90,"A’lo",IF(T6&gt;=80,"Yaxshi",IF(T6&gt;=70,"Qoniqarli",IF(T6&gt;=60,"O‘rtacha","Past")))))</x:f>
      </x:c>
      <x:c r="W6" s="124" t="str">
        <x:v>Uyqu bajarilishi (%)</x:v>
      </x:c>
      <x:c r="X6" s="124" t="str">
        <x:v>Uyqu / maqsad soat</x:v>
      </x:c>
      <x:c r="Y6" s="124" t="str">
        <x:v>Maqsad Portal_sozlamalari sahifasidan olinadi</x:v>
      </x:c>
    </x:row>
    <x:row r="7" ht="38" customHeight="1">
      <x:c r="A7" s="107" t="n">
        <x:v>5</x:v>
      </x:c>
      <x:c r="B7" s="108" t="n">
        <x:v>46158</x:v>
      </x:c>
      <x:c r="C7" s="107" t="str">
        <x:v>Shanba</x:v>
      </x:c>
      <x:c r="D7" s="107" t="str">
        <x:v>Hafta 1</x:v>
      </x:c>
      <x:c r="E7" s="109" t="str">
        <x:v>Gym kuni</x:v>
      </x:c>
      <x:c r="F7" s="110" t="str">
        <x:v>Gym: oyoq kuni — squat/leg press, RDL, lunge, calf, core</x:v>
      </x:c>
      <x:c r="G7" s="111" t="n">
        <x:f>VLOOKUP($E7,Ovqatlanish!$A$3:$E$8,2,FALSE)</x:f>
        <x:v>2500</x:v>
      </x:c>
      <x:c r="H7" s="111" t="n">
        <x:f>VLOOKUP($E7,Ovqatlanish!$A$3:$E$8,3,FALSE)</x:f>
        <x:v>170</x:v>
      </x:c>
      <x:c r="I7" s="111" t="n">
        <x:f>VLOOKUP($E7,Ovqatlanish!$A$3:$E$8,4,FALSE)</x:f>
        <x:v>300</x:v>
      </x:c>
      <x:c r="J7" s="111" t="n">
        <x:f>VLOOKUP($E7,Ovqatlanish!$A$3:$E$8,5,FALSE)</x:f>
        <x:v>70</x:v>
      </x:c>
      <x:c r="K7" s="148" t="str"/>
      <x:c r="L7" s="148" t="str"/>
      <x:c r="M7" s="149" t="str"/>
      <x:c r="N7" s="150" t="str"/>
      <x:c r="O7" s="115" t="str"/>
      <x:c r="P7" s="155"/>
      <x:c r="Q7" s="155"/>
      <x:c r="R7" s="157" t="str">
        <x:f>IF(K7="","",ROUND(MIN(K7/Portal_sozlamalari!$B$8*100,100),0))</x:f>
      </x:c>
      <x:c r="S7" s="157" t="str">
        <x:f>IF(L7="","",ROUND(MIN(L7/Portal_sozlamalari!$B$9*100,100),0))</x:f>
      </x:c>
      <x:c r="T7" s="157" t="str">
        <x:f>IF(OR(ISNUMBER(SEARCH("Dam",E7)),ISNUMBER(SEARCH("tiklanish",F7)),ISNUMBER(SEARCH("yengil",F7)),ISNUMBER(SEARCH("ofis",F7))),IF(OR(COUNT(Q7:S7)&lt;3,AND(P7="",V7="")),"",ROUND((MAX(N(P7),MIN(N(V7)/Portal_sozlamalari!$B$10*100,100))*Portal_sozlamalari!$B$4+Q7*Portal_sozlamalari!$B$5+S7*Portal_sozlamalari!$B$6+R7*Portal_sozlamalari!$B$7)/SUM(Portal_sozlamalari!$B$4:$B$7),0)),IF(COUNT(P7:S7)&lt;4,"",ROUND((P7*Portal_sozlamalari!$B$4+Q7*Portal_sozlamalari!$B$5+S7*Portal_sozlamalari!$B$6+R7*Portal_sozlamalari!$B$7)/SUM(Portal_sozlamalari!$B$4:$B$7),0)))</x:f>
      </x:c>
      <x:c r="U7" s="154" t="str">
        <x:f>IF(T7="","",IF(T7&gt;=90,"A’lo",IF(T7&gt;=80,"Yaxshi",IF(T7&gt;=70,"Qoniqarli",IF(T7&gt;=60,"O‘rtacha","Past")))))</x:f>
      </x:c>
      <x:c r="W7" s="124" t="str">
        <x:v>Dam/tiklanish faolligi</x:v>
      </x:c>
      <x:c r="X7" s="124" t="str">
        <x:v>MAX(Sport %, Qadam / maqsad)</x:v>
      </x:c>
      <x:c r="Y7" s="124" t="str">
        <x:v>Sport kiritilmasa qadam foizi ishlaydi</x:v>
      </x:c>
    </x:row>
    <x:row r="8" ht="38" customHeight="1">
      <x:c r="A8" s="107" t="n">
        <x:v>6</x:v>
      </x:c>
      <x:c r="B8" s="108" t="n">
        <x:v>46159</x:v>
      </x:c>
      <x:c r="C8" s="107" t="str">
        <x:v>Yakshanba</x:v>
      </x:c>
      <x:c r="D8" s="107" t="str">
        <x:v>Hafta 1</x:v>
      </x:c>
      <x:c r="E8" s="109" t="str">
        <x:v>Dam / suzish ixtiyoriy</x:v>
      </x:c>
      <x:c r="F8" s="110" t="str">
        <x:v>Yengil suzish yoki upper body yengil; charchoq bo‘lsa dam</x:v>
      </x:c>
      <x:c r="G8" s="111" t="n">
        <x:f>VLOOKUP($E8,Ovqatlanish!$A$3:$E$8,2,FALSE)</x:f>
        <x:v>2350</x:v>
      </x:c>
      <x:c r="H8" s="111" t="n">
        <x:f>VLOOKUP($E8,Ovqatlanish!$A$3:$E$8,3,FALSE)</x:f>
        <x:v>170</x:v>
      </x:c>
      <x:c r="I8" s="111" t="n">
        <x:f>VLOOKUP($E8,Ovqatlanish!$A$3:$E$8,4,FALSE)</x:f>
        <x:v>255</x:v>
      </x:c>
      <x:c r="J8" s="111" t="n">
        <x:f>VLOOKUP($E8,Ovqatlanish!$A$3:$E$8,5,FALSE)</x:f>
        <x:v>70</x:v>
      </x:c>
      <x:c r="K8" s="148" t="str"/>
      <x:c r="L8" s="148" t="str"/>
      <x:c r="M8" s="149" t="str"/>
      <x:c r="N8" s="150" t="str"/>
      <x:c r="O8" s="115" t="str"/>
      <x:c r="P8" s="155"/>
      <x:c r="Q8" s="155"/>
      <x:c r="R8" s="157" t="str">
        <x:f>IF(K8="","",ROUND(MIN(K8/Portal_sozlamalari!$B$8*100,100),0))</x:f>
      </x:c>
      <x:c r="S8" s="157" t="str">
        <x:f>IF(L8="","",ROUND(MIN(L8/Portal_sozlamalari!$B$9*100,100),0))</x:f>
      </x:c>
      <x:c r="T8" s="157" t="str">
        <x:f>IF(OR(ISNUMBER(SEARCH("Dam",E8)),ISNUMBER(SEARCH("tiklanish",F8)),ISNUMBER(SEARCH("yengil",F8)),ISNUMBER(SEARCH("ofis",F8))),IF(OR(COUNT(Q8:S8)&lt;3,AND(P8="",V8="")),"",ROUND((MAX(N(P8),MIN(N(V8)/Portal_sozlamalari!$B$10*100,100))*Portal_sozlamalari!$B$4+Q8*Portal_sozlamalari!$B$5+S8*Portal_sozlamalari!$B$6+R8*Portal_sozlamalari!$B$7)/SUM(Portal_sozlamalari!$B$4:$B$7),0)),IF(COUNT(P8:S8)&lt;4,"",ROUND((P8*Portal_sozlamalari!$B$4+Q8*Portal_sozlamalari!$B$5+S8*Portal_sozlamalari!$B$6+R8*Portal_sozlamalari!$B$7)/SUM(Portal_sozlamalari!$B$4:$B$7),0)))</x:f>
      </x:c>
      <x:c r="U8" s="154" t="str">
        <x:f>IF(T8="","",IF(T8&gt;=90,"A’lo",IF(T8&gt;=80,"Yaxshi",IF(T8&gt;=70,"Qoniqarli",IF(T8&gt;=60,"O‘rtacha","Past")))))</x:f>
      </x:c>
      <x:c r="W8" s="124" t="str">
        <x:v>Umumiy baho</x:v>
      </x:c>
      <x:c r="X8" s="124" t="str">
        <x:v>40% faollik + 35% ovqat + 15% uyqu + 10% suv</x:v>
      </x:c>
      <x:c r="Y8" s="124" t="str">
        <x:v>Portal default formulasi bilan bir xil</x:v>
      </x:c>
    </x:row>
    <x:row r="9" ht="38" customHeight="1">
      <x:c r="A9" s="107" t="n">
        <x:v>7</x:v>
      </x:c>
      <x:c r="B9" s="108" t="n">
        <x:v>46160</x:v>
      </x:c>
      <x:c r="C9" s="107" t="str">
        <x:v>Dushanba</x:v>
      </x:c>
      <x:c r="D9" s="107" t="str">
        <x:v>Hafta 1</x:v>
      </x:c>
      <x:c r="E9" s="109" t="str">
        <x:v>Dam kuni</x:v>
      </x:c>
      <x:c r="F9" s="110" t="str">
        <x:v>Yurish 20–40 daqiqa, stretching, tiklanish</x:v>
      </x:c>
      <x:c r="G9" s="111" t="n">
        <x:f>VLOOKUP($E9,Ovqatlanish!$A$3:$E$8,2,FALSE)</x:f>
        <x:v>2200</x:v>
      </x:c>
      <x:c r="H9" s="111" t="n">
        <x:f>VLOOKUP($E9,Ovqatlanish!$A$3:$E$8,3,FALSE)</x:f>
        <x:v>170</x:v>
      </x:c>
      <x:c r="I9" s="111" t="n">
        <x:f>VLOOKUP($E9,Ovqatlanish!$A$3:$E$8,4,FALSE)</x:f>
        <x:v>210</x:v>
      </x:c>
      <x:c r="J9" s="111" t="n">
        <x:f>VLOOKUP($E9,Ovqatlanish!$A$3:$E$8,5,FALSE)</x:f>
        <x:v>75</x:v>
      </x:c>
      <x:c r="K9" s="148" t="str"/>
      <x:c r="L9" s="148" t="str"/>
      <x:c r="M9" s="149" t="str"/>
      <x:c r="N9" s="150" t="str"/>
      <x:c r="O9" s="115" t="str"/>
      <x:c r="P9" s="155"/>
      <x:c r="Q9" s="155"/>
      <x:c r="R9" s="157" t="str">
        <x:f>IF(K9="","",ROUND(MIN(K9/Portal_sozlamalari!$B$8*100,100),0))</x:f>
      </x:c>
      <x:c r="S9" s="157" t="str">
        <x:f>IF(L9="","",ROUND(MIN(L9/Portal_sozlamalari!$B$9*100,100),0))</x:f>
      </x:c>
      <x:c r="T9" s="157" t="str">
        <x:f>IF(OR(ISNUMBER(SEARCH("Dam",E9)),ISNUMBER(SEARCH("tiklanish",F9)),ISNUMBER(SEARCH("yengil",F9)),ISNUMBER(SEARCH("ofis",F9))),IF(OR(COUNT(Q9:S9)&lt;3,AND(P9="",V9="")),"",ROUND((MAX(N(P9),MIN(N(V9)/Portal_sozlamalari!$B$10*100,100))*Portal_sozlamalari!$B$4+Q9*Portal_sozlamalari!$B$5+S9*Portal_sozlamalari!$B$6+R9*Portal_sozlamalari!$B$7)/SUM(Portal_sozlamalari!$B$4:$B$7),0)),IF(COUNT(P9:S9)&lt;4,"",ROUND((P9*Portal_sozlamalari!$B$4+Q9*Portal_sozlamalari!$B$5+S9*Portal_sozlamalari!$B$6+R9*Portal_sozlamalari!$B$7)/SUM(Portal_sozlamalari!$B$4:$B$7),0)))</x:f>
      </x:c>
      <x:c r="U9" s="154" t="str">
        <x:f>IF(T9="","",IF(T9&gt;=90,"A’lo",IF(T9&gt;=80,"Yaxshi",IF(T9&gt;=70,"Qoniqarli",IF(T9&gt;=60,"O‘rtacha","Past")))))</x:f>
      </x:c>
      <x:c r="W9" s="32" t="str">
        <x:v>Qadam</x:v>
      </x:c>
      <x:c r="X9" s="32" t="str">
        <x:v>V ustuniga kiriting</x:v>
      </x:c>
      <x:c r="Y9" s="32" t="str">
        <x:v>8000 qadam = 100% (default)</x:v>
      </x:c>
    </x:row>
    <x:row r="10" ht="38" customHeight="1">
      <x:c r="A10" s="107" t="n">
        <x:v>8</x:v>
      </x:c>
      <x:c r="B10" s="108" t="n">
        <x:v>46161</x:v>
      </x:c>
      <x:c r="C10" s="107" t="str">
        <x:v>Seshanba</x:v>
      </x:c>
      <x:c r="D10" s="107" t="str">
        <x:v>Hafta 2</x:v>
      </x:c>
      <x:c r="E10" s="109" t="str">
        <x:v>Boks kuni</x:v>
      </x:c>
      <x:c r="F10" s="110" t="str">
        <x:v>Boks: texnika, kardio, koordinatsiya</x:v>
      </x:c>
      <x:c r="G10" s="111" t="n">
        <x:f>VLOOKUP($E10,Ovqatlanish!$A$3:$E$8,2,FALSE)</x:f>
        <x:v>2450</x:v>
      </x:c>
      <x:c r="H10" s="111" t="n">
        <x:f>VLOOKUP($E10,Ovqatlanish!$A$3:$E$8,3,FALSE)</x:f>
        <x:v>170</x:v>
      </x:c>
      <x:c r="I10" s="111" t="n">
        <x:f>VLOOKUP($E10,Ovqatlanish!$A$3:$E$8,4,FALSE)</x:f>
        <x:v>285</x:v>
      </x:c>
      <x:c r="J10" s="111" t="n">
        <x:f>VLOOKUP($E10,Ovqatlanish!$A$3:$E$8,5,FALSE)</x:f>
        <x:v>70</x:v>
      </x:c>
      <x:c r="K10" s="148" t="str"/>
      <x:c r="L10" s="148" t="str"/>
      <x:c r="M10" s="149" t="str"/>
      <x:c r="N10" s="150" t="str"/>
      <x:c r="O10" s="115" t="str"/>
      <x:c r="P10" s="155"/>
      <x:c r="Q10" s="155"/>
      <x:c r="R10" s="157" t="str">
        <x:f>IF(K10="","",ROUND(MIN(K10/Portal_sozlamalari!$B$8*100,100),0))</x:f>
      </x:c>
      <x:c r="S10" s="157" t="str">
        <x:f>IF(L10="","",ROUND(MIN(L10/Portal_sozlamalari!$B$9*100,100),0))</x:f>
      </x:c>
      <x:c r="T10" s="157" t="str">
        <x:f>IF(OR(ISNUMBER(SEARCH("Dam",E10)),ISNUMBER(SEARCH("tiklanish",F10)),ISNUMBER(SEARCH("yengil",F10)),ISNUMBER(SEARCH("ofis",F10))),IF(OR(COUNT(Q10:S10)&lt;3,AND(P10="",V10="")),"",ROUND((MAX(N(P10),MIN(N(V10)/Portal_sozlamalari!$B$10*100,100))*Portal_sozlamalari!$B$4+Q10*Portal_sozlamalari!$B$5+S10*Portal_sozlamalari!$B$6+R10*Portal_sozlamalari!$B$7)/SUM(Portal_sozlamalari!$B$4:$B$7),0)),IF(COUNT(P10:S10)&lt;4,"",ROUND((P10*Portal_sozlamalari!$B$4+Q10*Portal_sozlamalari!$B$5+S10*Portal_sozlamalari!$B$6+R10*Portal_sozlamalari!$B$7)/SUM(Portal_sozlamalari!$B$4:$B$7),0)))</x:f>
      </x:c>
      <x:c r="U10" s="154" t="str">
        <x:f>IF(T10="","",IF(T10&gt;=90,"A’lo",IF(T10&gt;=80,"Yaxshi",IF(T10&gt;=70,"Qoniqarli",IF(T10&gt;=60,"O‘rtacha","Past")))))</x:f>
      </x:c>
      <x:c r="W10" s="32" t="str">
        <x:v>Sozlamalar</x:v>
      </x:c>
      <x:c r="X10" s="32" t="str">
        <x:v>Portal_sozlamalari</x:v>
      </x:c>
      <x:c r="Y10" s="32" t="str">
        <x:v>Vazn va maqsadlarni bitta joydan o‘zgartiring</x:v>
      </x:c>
    </x:row>
    <x:row r="11" ht="38" customHeight="1">
      <x:c r="A11" s="107" t="n">
        <x:v>9</x:v>
      </x:c>
      <x:c r="B11" s="108" t="n">
        <x:v>46162</x:v>
      </x:c>
      <x:c r="C11" s="107" t="str">
        <x:v>Chorshanba</x:v>
      </x:c>
      <x:c r="D11" s="107" t="str">
        <x:v>Hafta 2</x:v>
      </x:c>
      <x:c r="E11" s="109" t="str">
        <x:v>Dam kuni</x:v>
      </x:c>
      <x:c r="F11" s="110" t="str">
        <x:v>Yurish 20–40 daqiqa, stretching, tiklanish</x:v>
      </x:c>
      <x:c r="G11" s="111" t="n">
        <x:f>VLOOKUP($E11,Ovqatlanish!$A$3:$E$8,2,FALSE)</x:f>
        <x:v>2200</x:v>
      </x:c>
      <x:c r="H11" s="111" t="n">
        <x:f>VLOOKUP($E11,Ovqatlanish!$A$3:$E$8,3,FALSE)</x:f>
        <x:v>170</x:v>
      </x:c>
      <x:c r="I11" s="111" t="n">
        <x:f>VLOOKUP($E11,Ovqatlanish!$A$3:$E$8,4,FALSE)</x:f>
        <x:v>210</x:v>
      </x:c>
      <x:c r="J11" s="111" t="n">
        <x:f>VLOOKUP($E11,Ovqatlanish!$A$3:$E$8,5,FALSE)</x:f>
        <x:v>75</x:v>
      </x:c>
      <x:c r="K11" s="148" t="str"/>
      <x:c r="L11" s="148" t="str"/>
      <x:c r="M11" s="149" t="str"/>
      <x:c r="N11" s="150" t="str"/>
      <x:c r="O11" s="115" t="str"/>
      <x:c r="P11" s="155"/>
      <x:c r="Q11" s="155"/>
      <x:c r="R11" s="157" t="str">
        <x:f>IF(K11="","",ROUND(MIN(K11/Portal_sozlamalari!$B$8*100,100),0))</x:f>
      </x:c>
      <x:c r="S11" s="157" t="str">
        <x:f>IF(L11="","",ROUND(MIN(L11/Portal_sozlamalari!$B$9*100,100),0))</x:f>
      </x:c>
      <x:c r="T11" s="157" t="str">
        <x:f>IF(OR(ISNUMBER(SEARCH("Dam",E11)),ISNUMBER(SEARCH("tiklanish",F11)),ISNUMBER(SEARCH("yengil",F11)),ISNUMBER(SEARCH("ofis",F11))),IF(OR(COUNT(Q11:S11)&lt;3,AND(P11="",V11="")),"",ROUND((MAX(N(P11),MIN(N(V11)/Portal_sozlamalari!$B$10*100,100))*Portal_sozlamalari!$B$4+Q11*Portal_sozlamalari!$B$5+S11*Portal_sozlamalari!$B$6+R11*Portal_sozlamalari!$B$7)/SUM(Portal_sozlamalari!$B$4:$B$7),0)),IF(COUNT(P11:S11)&lt;4,"",ROUND((P11*Portal_sozlamalari!$B$4+Q11*Portal_sozlamalari!$B$5+S11*Portal_sozlamalari!$B$6+R11*Portal_sozlamalari!$B$7)/SUM(Portal_sozlamalari!$B$4:$B$7),0)))</x:f>
      </x:c>
      <x:c r="U11" s="154" t="str">
        <x:f>IF(T11="","",IF(T11&gt;=90,"A’lo",IF(T11&gt;=80,"Yaxshi",IF(T11&gt;=70,"Qoniqarli",IF(T11&gt;=60,"O‘rtacha","Past")))))</x:f>
      </x:c>
    </x:row>
    <x:row r="12" ht="38" customHeight="1">
      <x:c r="A12" s="107" t="n">
        <x:v>10</x:v>
      </x:c>
      <x:c r="B12" s="108" t="n">
        <x:v>46163</x:v>
      </x:c>
      <x:c r="C12" s="107" t="str">
        <x:v>Payshanba</x:v>
      </x:c>
      <x:c r="D12" s="107" t="str">
        <x:v>Hafta 2</x:v>
      </x:c>
      <x:c r="E12" s="109" t="str">
        <x:v>Boks kuni</x:v>
      </x:c>
      <x:c r="F12" s="110" t="str">
        <x:v>Boks: sparring/texnika, chidamlilik</x:v>
      </x:c>
      <x:c r="G12" s="111" t="n">
        <x:f>VLOOKUP($E12,Ovqatlanish!$A$3:$E$8,2,FALSE)</x:f>
        <x:v>2450</x:v>
      </x:c>
      <x:c r="H12" s="111" t="n">
        <x:f>VLOOKUP($E12,Ovqatlanish!$A$3:$E$8,3,FALSE)</x:f>
        <x:v>170</x:v>
      </x:c>
      <x:c r="I12" s="111" t="n">
        <x:f>VLOOKUP($E12,Ovqatlanish!$A$3:$E$8,4,FALSE)</x:f>
        <x:v>285</x:v>
      </x:c>
      <x:c r="J12" s="111" t="n">
        <x:f>VLOOKUP($E12,Ovqatlanish!$A$3:$E$8,5,FALSE)</x:f>
        <x:v>70</x:v>
      </x:c>
      <x:c r="K12" s="148" t="str"/>
      <x:c r="L12" s="148" t="str"/>
      <x:c r="M12" s="149" t="str"/>
      <x:c r="N12" s="150" t="str"/>
      <x:c r="O12" s="115" t="str"/>
      <x:c r="P12" s="155"/>
      <x:c r="Q12" s="155"/>
      <x:c r="R12" s="157" t="str">
        <x:f>IF(K12="","",ROUND(MIN(K12/Portal_sozlamalari!$B$8*100,100),0))</x:f>
      </x:c>
      <x:c r="S12" s="157" t="str">
        <x:f>IF(L12="","",ROUND(MIN(L12/Portal_sozlamalari!$B$9*100,100),0))</x:f>
      </x:c>
      <x:c r="T12" s="157" t="str">
        <x:f>IF(OR(ISNUMBER(SEARCH("Dam",E12)),ISNUMBER(SEARCH("tiklanish",F12)),ISNUMBER(SEARCH("yengil",F12)),ISNUMBER(SEARCH("ofis",F12))),IF(OR(COUNT(Q12:S12)&lt;3,AND(P12="",V12="")),"",ROUND((MAX(N(P12),MIN(N(V12)/Portal_sozlamalari!$B$10*100,100))*Portal_sozlamalari!$B$4+Q12*Portal_sozlamalari!$B$5+S12*Portal_sozlamalari!$B$6+R12*Portal_sozlamalari!$B$7)/SUM(Portal_sozlamalari!$B$4:$B$7),0)),IF(COUNT(P12:S12)&lt;4,"",ROUND((P12*Portal_sozlamalari!$B$4+Q12*Portal_sozlamalari!$B$5+S12*Portal_sozlamalari!$B$6+R12*Portal_sozlamalari!$B$7)/SUM(Portal_sozlamalari!$B$4:$B$7),0)))</x:f>
      </x:c>
      <x:c r="U12" s="154" t="str">
        <x:f>IF(T12="","",IF(T12&gt;=90,"A’lo",IF(T12&gt;=80,"Yaxshi",IF(T12&gt;=70,"Qoniqarli",IF(T12&gt;=60,"O‘rtacha","Past")))))</x:f>
      </x:c>
    </x:row>
    <x:row r="13" ht="38" customHeight="1">
      <x:c r="A13" s="107" t="n">
        <x:v>11</x:v>
      </x:c>
      <x:c r="B13" s="108" t="n">
        <x:v>46164</x:v>
      </x:c>
      <x:c r="C13" s="107" t="str">
        <x:v>Juma</x:v>
      </x:c>
      <x:c r="D13" s="107" t="str">
        <x:v>Hafta 2</x:v>
      </x:c>
      <x:c r="E13" s="109" t="str">
        <x:v>Dam kuni</x:v>
      </x:c>
      <x:c r="F13" s="110" t="str">
        <x:v>Yurish 20–40 daqiqa, stretching, tiklanish</x:v>
      </x:c>
      <x:c r="G13" s="111" t="n">
        <x:f>VLOOKUP($E13,Ovqatlanish!$A$3:$E$8,2,FALSE)</x:f>
        <x:v>2200</x:v>
      </x:c>
      <x:c r="H13" s="111" t="n">
        <x:f>VLOOKUP($E13,Ovqatlanish!$A$3:$E$8,3,FALSE)</x:f>
        <x:v>170</x:v>
      </x:c>
      <x:c r="I13" s="111" t="n">
        <x:f>VLOOKUP($E13,Ovqatlanish!$A$3:$E$8,4,FALSE)</x:f>
        <x:v>210</x:v>
      </x:c>
      <x:c r="J13" s="111" t="n">
        <x:f>VLOOKUP($E13,Ovqatlanish!$A$3:$E$8,5,FALSE)</x:f>
        <x:v>75</x:v>
      </x:c>
      <x:c r="K13" s="148" t="str"/>
      <x:c r="L13" s="148" t="str"/>
      <x:c r="M13" s="149" t="str"/>
      <x:c r="N13" s="150" t="str"/>
      <x:c r="O13" s="115" t="str"/>
      <x:c r="P13" s="155"/>
      <x:c r="Q13" s="155"/>
      <x:c r="R13" s="157" t="str">
        <x:f>IF(K13="","",ROUND(MIN(K13/Portal_sozlamalari!$B$8*100,100),0))</x:f>
      </x:c>
      <x:c r="S13" s="157" t="str">
        <x:f>IF(L13="","",ROUND(MIN(L13/Portal_sozlamalari!$B$9*100,100),0))</x:f>
      </x:c>
      <x:c r="T13" s="157" t="str">
        <x:f>IF(OR(ISNUMBER(SEARCH("Dam",E13)),ISNUMBER(SEARCH("tiklanish",F13)),ISNUMBER(SEARCH("yengil",F13)),ISNUMBER(SEARCH("ofis",F13))),IF(OR(COUNT(Q13:S13)&lt;3,AND(P13="",V13="")),"",ROUND((MAX(N(P13),MIN(N(V13)/Portal_sozlamalari!$B$10*100,100))*Portal_sozlamalari!$B$4+Q13*Portal_sozlamalari!$B$5+S13*Portal_sozlamalari!$B$6+R13*Portal_sozlamalari!$B$7)/SUM(Portal_sozlamalari!$B$4:$B$7),0)),IF(COUNT(P13:S13)&lt;4,"",ROUND((P13*Portal_sozlamalari!$B$4+Q13*Portal_sozlamalari!$B$5+S13*Portal_sozlamalari!$B$6+R13*Portal_sozlamalari!$B$7)/SUM(Portal_sozlamalari!$B$4:$B$7),0)))</x:f>
      </x:c>
      <x:c r="U13" s="154" t="str">
        <x:f>IF(T13="","",IF(T13&gt;=90,"A’lo",IF(T13&gt;=80,"Yaxshi",IF(T13&gt;=70,"Qoniqarli",IF(T13&gt;=60,"O‘rtacha","Past")))))</x:f>
      </x:c>
    </x:row>
    <x:row r="14" ht="38" customHeight="1">
      <x:c r="A14" s="107" t="n">
        <x:v>12</x:v>
      </x:c>
      <x:c r="B14" s="108" t="n">
        <x:v>46165</x:v>
      </x:c>
      <x:c r="C14" s="107" t="str">
        <x:v>Shanba</x:v>
      </x:c>
      <x:c r="D14" s="107" t="str">
        <x:v>Hafta 2</x:v>
      </x:c>
      <x:c r="E14" s="109" t="str">
        <x:v>Gym kuni</x:v>
      </x:c>
      <x:c r="F14" s="110" t="str">
        <x:v>Gym: oyoq kuni — squat/leg press, RDL, lunge, calf, core</x:v>
      </x:c>
      <x:c r="G14" s="111" t="n">
        <x:f>VLOOKUP($E14,Ovqatlanish!$A$3:$E$8,2,FALSE)</x:f>
        <x:v>2500</x:v>
      </x:c>
      <x:c r="H14" s="111" t="n">
        <x:f>VLOOKUP($E14,Ovqatlanish!$A$3:$E$8,3,FALSE)</x:f>
        <x:v>170</x:v>
      </x:c>
      <x:c r="I14" s="111" t="n">
        <x:f>VLOOKUP($E14,Ovqatlanish!$A$3:$E$8,4,FALSE)</x:f>
        <x:v>300</x:v>
      </x:c>
      <x:c r="J14" s="111" t="n">
        <x:f>VLOOKUP($E14,Ovqatlanish!$A$3:$E$8,5,FALSE)</x:f>
        <x:v>70</x:v>
      </x:c>
      <x:c r="K14" s="148" t="str"/>
      <x:c r="L14" s="148" t="str"/>
      <x:c r="M14" s="149" t="str"/>
      <x:c r="N14" s="150" t="str"/>
      <x:c r="O14" s="115" t="str"/>
      <x:c r="P14" s="155"/>
      <x:c r="Q14" s="155"/>
      <x:c r="R14" s="157" t="str">
        <x:f>IF(K14="","",ROUND(MIN(K14/Portal_sozlamalari!$B$8*100,100),0))</x:f>
      </x:c>
      <x:c r="S14" s="157" t="str">
        <x:f>IF(L14="","",ROUND(MIN(L14/Portal_sozlamalari!$B$9*100,100),0))</x:f>
      </x:c>
      <x:c r="T14" s="157" t="str">
        <x:f>IF(OR(ISNUMBER(SEARCH("Dam",E14)),ISNUMBER(SEARCH("tiklanish",F14)),ISNUMBER(SEARCH("yengil",F14)),ISNUMBER(SEARCH("ofis",F14))),IF(OR(COUNT(Q14:S14)&lt;3,AND(P14="",V14="")),"",ROUND((MAX(N(P14),MIN(N(V14)/Portal_sozlamalari!$B$10*100,100))*Portal_sozlamalari!$B$4+Q14*Portal_sozlamalari!$B$5+S14*Portal_sozlamalari!$B$6+R14*Portal_sozlamalari!$B$7)/SUM(Portal_sozlamalari!$B$4:$B$7),0)),IF(COUNT(P14:S14)&lt;4,"",ROUND((P14*Portal_sozlamalari!$B$4+Q14*Portal_sozlamalari!$B$5+S14*Portal_sozlamalari!$B$6+R14*Portal_sozlamalari!$B$7)/SUM(Portal_sozlamalari!$B$4:$B$7),0)))</x:f>
      </x:c>
      <x:c r="U14" s="154" t="str">
        <x:f>IF(T14="","",IF(T14&gt;=90,"A’lo",IF(T14&gt;=80,"Yaxshi",IF(T14&gt;=70,"Qoniqarli",IF(T14&gt;=60,"O‘rtacha","Past")))))</x:f>
      </x:c>
    </x:row>
    <x:row r="15" ht="38" customHeight="1">
      <x:c r="A15" s="107" t="n">
        <x:v>13</x:v>
      </x:c>
      <x:c r="B15" s="108" t="n">
        <x:v>46166</x:v>
      </x:c>
      <x:c r="C15" s="107" t="str">
        <x:v>Yakshanba</x:v>
      </x:c>
      <x:c r="D15" s="107" t="str">
        <x:v>Hafta 2</x:v>
      </x:c>
      <x:c r="E15" s="109" t="str">
        <x:v>Dam / suzish ixtiyoriy</x:v>
      </x:c>
      <x:c r="F15" s="110" t="str">
        <x:v>Yengil suzish yoki upper body yengil; charchoq bo‘lsa dam</x:v>
      </x:c>
      <x:c r="G15" s="111" t="n">
        <x:f>VLOOKUP($E15,Ovqatlanish!$A$3:$E$8,2,FALSE)</x:f>
        <x:v>2350</x:v>
      </x:c>
      <x:c r="H15" s="111" t="n">
        <x:f>VLOOKUP($E15,Ovqatlanish!$A$3:$E$8,3,FALSE)</x:f>
        <x:v>170</x:v>
      </x:c>
      <x:c r="I15" s="111" t="n">
        <x:f>VLOOKUP($E15,Ovqatlanish!$A$3:$E$8,4,FALSE)</x:f>
        <x:v>255</x:v>
      </x:c>
      <x:c r="J15" s="111" t="n">
        <x:f>VLOOKUP($E15,Ovqatlanish!$A$3:$E$8,5,FALSE)</x:f>
        <x:v>70</x:v>
      </x:c>
      <x:c r="K15" s="148" t="str"/>
      <x:c r="L15" s="148" t="str"/>
      <x:c r="M15" s="149" t="str"/>
      <x:c r="N15" s="150" t="str"/>
      <x:c r="O15" s="115" t="str"/>
      <x:c r="P15" s="155"/>
      <x:c r="Q15" s="155"/>
      <x:c r="R15" s="157" t="str">
        <x:f>IF(K15="","",ROUND(MIN(K15/Portal_sozlamalari!$B$8*100,100),0))</x:f>
      </x:c>
      <x:c r="S15" s="157" t="str">
        <x:f>IF(L15="","",ROUND(MIN(L15/Portal_sozlamalari!$B$9*100,100),0))</x:f>
      </x:c>
      <x:c r="T15" s="157" t="str">
        <x:f>IF(OR(ISNUMBER(SEARCH("Dam",E15)),ISNUMBER(SEARCH("tiklanish",F15)),ISNUMBER(SEARCH("yengil",F15)),ISNUMBER(SEARCH("ofis",F15))),IF(OR(COUNT(Q15:S15)&lt;3,AND(P15="",V15="")),"",ROUND((MAX(N(P15),MIN(N(V15)/Portal_sozlamalari!$B$10*100,100))*Portal_sozlamalari!$B$4+Q15*Portal_sozlamalari!$B$5+S15*Portal_sozlamalari!$B$6+R15*Portal_sozlamalari!$B$7)/SUM(Portal_sozlamalari!$B$4:$B$7),0)),IF(COUNT(P15:S15)&lt;4,"",ROUND((P15*Portal_sozlamalari!$B$4+Q15*Portal_sozlamalari!$B$5+S15*Portal_sozlamalari!$B$6+R15*Portal_sozlamalari!$B$7)/SUM(Portal_sozlamalari!$B$4:$B$7),0)))</x:f>
      </x:c>
      <x:c r="U15" s="154" t="str">
        <x:f>IF(T15="","",IF(T15&gt;=90,"A’lo",IF(T15&gt;=80,"Yaxshi",IF(T15&gt;=70,"Qoniqarli",IF(T15&gt;=60,"O‘rtacha","Past")))))</x:f>
      </x:c>
    </x:row>
    <x:row r="16" ht="38" customHeight="1">
      <x:c r="A16" s="107" t="n">
        <x:v>14</x:v>
      </x:c>
      <x:c r="B16" s="108" t="n">
        <x:v>46167</x:v>
      </x:c>
      <x:c r="C16" s="107" t="str">
        <x:v>Dushanba</x:v>
      </x:c>
      <x:c r="D16" s="107" t="str">
        <x:v>Hafta 2</x:v>
      </x:c>
      <x:c r="E16" s="109" t="str">
        <x:v>Dam kuni</x:v>
      </x:c>
      <x:c r="F16" s="110" t="str">
        <x:v>Yurish 20–40 daqiqa, stretching, tiklanish</x:v>
      </x:c>
      <x:c r="G16" s="111" t="n">
        <x:f>VLOOKUP($E16,Ovqatlanish!$A$3:$E$8,2,FALSE)</x:f>
        <x:v>2200</x:v>
      </x:c>
      <x:c r="H16" s="111" t="n">
        <x:f>VLOOKUP($E16,Ovqatlanish!$A$3:$E$8,3,FALSE)</x:f>
        <x:v>170</x:v>
      </x:c>
      <x:c r="I16" s="111" t="n">
        <x:f>VLOOKUP($E16,Ovqatlanish!$A$3:$E$8,4,FALSE)</x:f>
        <x:v>210</x:v>
      </x:c>
      <x:c r="J16" s="111" t="n">
        <x:f>VLOOKUP($E16,Ovqatlanish!$A$3:$E$8,5,FALSE)</x:f>
        <x:v>75</x:v>
      </x:c>
      <x:c r="K16" s="148" t="str"/>
      <x:c r="L16" s="148" t="str"/>
      <x:c r="M16" s="149" t="str"/>
      <x:c r="N16" s="150" t="str"/>
      <x:c r="O16" s="115" t="str"/>
      <x:c r="P16" s="155"/>
      <x:c r="Q16" s="155"/>
      <x:c r="R16" s="157" t="str">
        <x:f>IF(K16="","",ROUND(MIN(K16/Portal_sozlamalari!$B$8*100,100),0))</x:f>
      </x:c>
      <x:c r="S16" s="157" t="str">
        <x:f>IF(L16="","",ROUND(MIN(L16/Portal_sozlamalari!$B$9*100,100),0))</x:f>
      </x:c>
      <x:c r="T16" s="157" t="str">
        <x:f>IF(OR(ISNUMBER(SEARCH("Dam",E16)),ISNUMBER(SEARCH("tiklanish",F16)),ISNUMBER(SEARCH("yengil",F16)),ISNUMBER(SEARCH("ofis",F16))),IF(OR(COUNT(Q16:S16)&lt;3,AND(P16="",V16="")),"",ROUND((MAX(N(P16),MIN(N(V16)/Portal_sozlamalari!$B$10*100,100))*Portal_sozlamalari!$B$4+Q16*Portal_sozlamalari!$B$5+S16*Portal_sozlamalari!$B$6+R16*Portal_sozlamalari!$B$7)/SUM(Portal_sozlamalari!$B$4:$B$7),0)),IF(COUNT(P16:S16)&lt;4,"",ROUND((P16*Portal_sozlamalari!$B$4+Q16*Portal_sozlamalari!$B$5+S16*Portal_sozlamalari!$B$6+R16*Portal_sozlamalari!$B$7)/SUM(Portal_sozlamalari!$B$4:$B$7),0)))</x:f>
      </x:c>
      <x:c r="U16" s="154" t="str">
        <x:f>IF(T16="","",IF(T16&gt;=90,"A’lo",IF(T16&gt;=80,"Yaxshi",IF(T16&gt;=70,"Qoniqarli",IF(T16&gt;=60,"O‘rtacha","Past")))))</x:f>
      </x:c>
    </x:row>
    <x:row r="17" ht="38" customHeight="1">
      <x:c r="A17" s="107" t="n">
        <x:v>15</x:v>
      </x:c>
      <x:c r="B17" s="108" t="n">
        <x:v>46168</x:v>
      </x:c>
      <x:c r="C17" s="107" t="str">
        <x:v>Seshanba</x:v>
      </x:c>
      <x:c r="D17" s="107" t="str">
        <x:v>Hafta 3</x:v>
      </x:c>
      <x:c r="E17" s="109" t="str">
        <x:v>Boks kuni</x:v>
      </x:c>
      <x:c r="F17" s="110" t="str">
        <x:v>Boks: texnika, kardio, koordinatsiya</x:v>
      </x:c>
      <x:c r="G17" s="111" t="n">
        <x:f>VLOOKUP($E17,Ovqatlanish!$A$3:$E$8,2,FALSE)</x:f>
        <x:v>2450</x:v>
      </x:c>
      <x:c r="H17" s="111" t="n">
        <x:f>VLOOKUP($E17,Ovqatlanish!$A$3:$E$8,3,FALSE)</x:f>
        <x:v>170</x:v>
      </x:c>
      <x:c r="I17" s="111" t="n">
        <x:f>VLOOKUP($E17,Ovqatlanish!$A$3:$E$8,4,FALSE)</x:f>
        <x:v>285</x:v>
      </x:c>
      <x:c r="J17" s="111" t="n">
        <x:f>VLOOKUP($E17,Ovqatlanish!$A$3:$E$8,5,FALSE)</x:f>
        <x:v>70</x:v>
      </x:c>
      <x:c r="K17" s="148" t="str"/>
      <x:c r="L17" s="148" t="str"/>
      <x:c r="M17" s="149" t="str"/>
      <x:c r="N17" s="150" t="str"/>
      <x:c r="O17" s="115" t="str"/>
      <x:c r="P17" s="155"/>
      <x:c r="Q17" s="155"/>
      <x:c r="R17" s="157" t="str">
        <x:f>IF(K17="","",ROUND(MIN(K17/Portal_sozlamalari!$B$8*100,100),0))</x:f>
      </x:c>
      <x:c r="S17" s="157" t="str">
        <x:f>IF(L17="","",ROUND(MIN(L17/Portal_sozlamalari!$B$9*100,100),0))</x:f>
      </x:c>
      <x:c r="T17" s="157" t="str">
        <x:f>IF(OR(ISNUMBER(SEARCH("Dam",E17)),ISNUMBER(SEARCH("tiklanish",F17)),ISNUMBER(SEARCH("yengil",F17)),ISNUMBER(SEARCH("ofis",F17))),IF(OR(COUNT(Q17:S17)&lt;3,AND(P17="",V17="")),"",ROUND((MAX(N(P17),MIN(N(V17)/Portal_sozlamalari!$B$10*100,100))*Portal_sozlamalari!$B$4+Q17*Portal_sozlamalari!$B$5+S17*Portal_sozlamalari!$B$6+R17*Portal_sozlamalari!$B$7)/SUM(Portal_sozlamalari!$B$4:$B$7),0)),IF(COUNT(P17:S17)&lt;4,"",ROUND((P17*Portal_sozlamalari!$B$4+Q17*Portal_sozlamalari!$B$5+S17*Portal_sozlamalari!$B$6+R17*Portal_sozlamalari!$B$7)/SUM(Portal_sozlamalari!$B$4:$B$7),0)))</x:f>
      </x:c>
      <x:c r="U17" s="154" t="str">
        <x:f>IF(T17="","",IF(T17&gt;=90,"A’lo",IF(T17&gt;=80,"Yaxshi",IF(T17&gt;=70,"Qoniqarli",IF(T17&gt;=60,"O‘rtacha","Past")))))</x:f>
      </x:c>
    </x:row>
    <x:row r="18" ht="38" customHeight="1">
      <x:c r="A18" s="107" t="n">
        <x:v>16</x:v>
      </x:c>
      <x:c r="B18" s="108" t="n">
        <x:v>46169</x:v>
      </x:c>
      <x:c r="C18" s="107" t="str">
        <x:v>Chorshanba</x:v>
      </x:c>
      <x:c r="D18" s="107" t="str">
        <x:v>Hafta 3</x:v>
      </x:c>
      <x:c r="E18" s="109" t="str">
        <x:v>Dam kuni</x:v>
      </x:c>
      <x:c r="F18" s="110" t="str">
        <x:v>Yurish 20–40 daqiqa, stretching, tiklanish</x:v>
      </x:c>
      <x:c r="G18" s="111" t="n">
        <x:f>VLOOKUP($E18,Ovqatlanish!$A$3:$E$8,2,FALSE)</x:f>
        <x:v>2200</x:v>
      </x:c>
      <x:c r="H18" s="111" t="n">
        <x:f>VLOOKUP($E18,Ovqatlanish!$A$3:$E$8,3,FALSE)</x:f>
        <x:v>170</x:v>
      </x:c>
      <x:c r="I18" s="111" t="n">
        <x:f>VLOOKUP($E18,Ovqatlanish!$A$3:$E$8,4,FALSE)</x:f>
        <x:v>210</x:v>
      </x:c>
      <x:c r="J18" s="111" t="n">
        <x:f>VLOOKUP($E18,Ovqatlanish!$A$3:$E$8,5,FALSE)</x:f>
        <x:v>75</x:v>
      </x:c>
      <x:c r="K18" s="148" t="str"/>
      <x:c r="L18" s="148" t="str"/>
      <x:c r="M18" s="149" t="str"/>
      <x:c r="N18" s="150" t="str"/>
      <x:c r="O18" s="115" t="str"/>
      <x:c r="P18" s="155"/>
      <x:c r="Q18" s="155"/>
      <x:c r="R18" s="157" t="str">
        <x:f>IF(K18="","",ROUND(MIN(K18/Portal_sozlamalari!$B$8*100,100),0))</x:f>
      </x:c>
      <x:c r="S18" s="157" t="str">
        <x:f>IF(L18="","",ROUND(MIN(L18/Portal_sozlamalari!$B$9*100,100),0))</x:f>
      </x:c>
      <x:c r="T18" s="157" t="str">
        <x:f>IF(OR(ISNUMBER(SEARCH("Dam",E18)),ISNUMBER(SEARCH("tiklanish",F18)),ISNUMBER(SEARCH("yengil",F18)),ISNUMBER(SEARCH("ofis",F18))),IF(OR(COUNT(Q18:S18)&lt;3,AND(P18="",V18="")),"",ROUND((MAX(N(P18),MIN(N(V18)/Portal_sozlamalari!$B$10*100,100))*Portal_sozlamalari!$B$4+Q18*Portal_sozlamalari!$B$5+S18*Portal_sozlamalari!$B$6+R18*Portal_sozlamalari!$B$7)/SUM(Portal_sozlamalari!$B$4:$B$7),0)),IF(COUNT(P18:S18)&lt;4,"",ROUND((P18*Portal_sozlamalari!$B$4+Q18*Portal_sozlamalari!$B$5+S18*Portal_sozlamalari!$B$6+R18*Portal_sozlamalari!$B$7)/SUM(Portal_sozlamalari!$B$4:$B$7),0)))</x:f>
      </x:c>
      <x:c r="U18" s="154" t="str">
        <x:f>IF(T18="","",IF(T18&gt;=90,"A’lo",IF(T18&gt;=80,"Yaxshi",IF(T18&gt;=70,"Qoniqarli",IF(T18&gt;=60,"O‘rtacha","Past")))))</x:f>
      </x:c>
    </x:row>
    <x:row r="19" ht="38" customHeight="1">
      <x:c r="A19" s="107" t="n">
        <x:v>17</x:v>
      </x:c>
      <x:c r="B19" s="108" t="n">
        <x:v>46170</x:v>
      </x:c>
      <x:c r="C19" s="107" t="str">
        <x:v>Payshanba</x:v>
      </x:c>
      <x:c r="D19" s="107" t="str">
        <x:v>Hafta 3</x:v>
      </x:c>
      <x:c r="E19" s="109" t="str">
        <x:v>Boks kuni</x:v>
      </x:c>
      <x:c r="F19" s="110" t="str">
        <x:v>Boks: sparring/texnika, chidamlilik</x:v>
      </x:c>
      <x:c r="G19" s="111" t="n">
        <x:f>VLOOKUP($E19,Ovqatlanish!$A$3:$E$8,2,FALSE)</x:f>
        <x:v>2450</x:v>
      </x:c>
      <x:c r="H19" s="111" t="n">
        <x:f>VLOOKUP($E19,Ovqatlanish!$A$3:$E$8,3,FALSE)</x:f>
        <x:v>170</x:v>
      </x:c>
      <x:c r="I19" s="111" t="n">
        <x:f>VLOOKUP($E19,Ovqatlanish!$A$3:$E$8,4,FALSE)</x:f>
        <x:v>285</x:v>
      </x:c>
      <x:c r="J19" s="111" t="n">
        <x:f>VLOOKUP($E19,Ovqatlanish!$A$3:$E$8,5,FALSE)</x:f>
        <x:v>70</x:v>
      </x:c>
      <x:c r="K19" s="148" t="str"/>
      <x:c r="L19" s="148" t="str"/>
      <x:c r="M19" s="149" t="str"/>
      <x:c r="N19" s="150" t="str"/>
      <x:c r="O19" s="115" t="str"/>
      <x:c r="P19" s="155"/>
      <x:c r="Q19" s="155"/>
      <x:c r="R19" s="157" t="str">
        <x:f>IF(K19="","",ROUND(MIN(K19/Portal_sozlamalari!$B$8*100,100),0))</x:f>
      </x:c>
      <x:c r="S19" s="157" t="str">
        <x:f>IF(L19="","",ROUND(MIN(L19/Portal_sozlamalari!$B$9*100,100),0))</x:f>
      </x:c>
      <x:c r="T19" s="157" t="str">
        <x:f>IF(OR(ISNUMBER(SEARCH("Dam",E19)),ISNUMBER(SEARCH("tiklanish",F19)),ISNUMBER(SEARCH("yengil",F19)),ISNUMBER(SEARCH("ofis",F19))),IF(OR(COUNT(Q19:S19)&lt;3,AND(P19="",V19="")),"",ROUND((MAX(N(P19),MIN(N(V19)/Portal_sozlamalari!$B$10*100,100))*Portal_sozlamalari!$B$4+Q19*Portal_sozlamalari!$B$5+S19*Portal_sozlamalari!$B$6+R19*Portal_sozlamalari!$B$7)/SUM(Portal_sozlamalari!$B$4:$B$7),0)),IF(COUNT(P19:S19)&lt;4,"",ROUND((P19*Portal_sozlamalari!$B$4+Q19*Portal_sozlamalari!$B$5+S19*Portal_sozlamalari!$B$6+R19*Portal_sozlamalari!$B$7)/SUM(Portal_sozlamalari!$B$4:$B$7),0)))</x:f>
      </x:c>
      <x:c r="U19" s="154" t="str">
        <x:f>IF(T19="","",IF(T19&gt;=90,"A’lo",IF(T19&gt;=80,"Yaxshi",IF(T19&gt;=70,"Qoniqarli",IF(T19&gt;=60,"O‘rtacha","Past")))))</x:f>
      </x:c>
    </x:row>
    <x:row r="20" ht="38" customHeight="1">
      <x:c r="A20" s="107" t="n">
        <x:v>18</x:v>
      </x:c>
      <x:c r="B20" s="108" t="n">
        <x:v>46171</x:v>
      </x:c>
      <x:c r="C20" s="107" t="str">
        <x:v>Juma</x:v>
      </x:c>
      <x:c r="D20" s="107" t="str">
        <x:v>Hafta 3</x:v>
      </x:c>
      <x:c r="E20" s="109" t="str">
        <x:v>Dam kuni</x:v>
      </x:c>
      <x:c r="F20" s="110" t="str">
        <x:v>Yurish 20–40 daqiqa, stretching, tiklanish</x:v>
      </x:c>
      <x:c r="G20" s="111" t="n">
        <x:f>VLOOKUP($E20,Ovqatlanish!$A$3:$E$8,2,FALSE)</x:f>
        <x:v>2200</x:v>
      </x:c>
      <x:c r="H20" s="111" t="n">
        <x:f>VLOOKUP($E20,Ovqatlanish!$A$3:$E$8,3,FALSE)</x:f>
        <x:v>170</x:v>
      </x:c>
      <x:c r="I20" s="111" t="n">
        <x:f>VLOOKUP($E20,Ovqatlanish!$A$3:$E$8,4,FALSE)</x:f>
        <x:v>210</x:v>
      </x:c>
      <x:c r="J20" s="111" t="n">
        <x:f>VLOOKUP($E20,Ovqatlanish!$A$3:$E$8,5,FALSE)</x:f>
        <x:v>75</x:v>
      </x:c>
      <x:c r="K20" s="148" t="str"/>
      <x:c r="L20" s="148" t="str"/>
      <x:c r="M20" s="149" t="str"/>
      <x:c r="N20" s="150" t="str"/>
      <x:c r="O20" s="115" t="str"/>
      <x:c r="P20" s="155"/>
      <x:c r="Q20" s="155"/>
      <x:c r="R20" s="157" t="str">
        <x:f>IF(K20="","",ROUND(MIN(K20/Portal_sozlamalari!$B$8*100,100),0))</x:f>
      </x:c>
      <x:c r="S20" s="157" t="str">
        <x:f>IF(L20="","",ROUND(MIN(L20/Portal_sozlamalari!$B$9*100,100),0))</x:f>
      </x:c>
      <x:c r="T20" s="157" t="str">
        <x:f>IF(OR(ISNUMBER(SEARCH("Dam",E20)),ISNUMBER(SEARCH("tiklanish",F20)),ISNUMBER(SEARCH("yengil",F20)),ISNUMBER(SEARCH("ofis",F20))),IF(OR(COUNT(Q20:S20)&lt;3,AND(P20="",V20="")),"",ROUND((MAX(N(P20),MIN(N(V20)/Portal_sozlamalari!$B$10*100,100))*Portal_sozlamalari!$B$4+Q20*Portal_sozlamalari!$B$5+S20*Portal_sozlamalari!$B$6+R20*Portal_sozlamalari!$B$7)/SUM(Portal_sozlamalari!$B$4:$B$7),0)),IF(COUNT(P20:S20)&lt;4,"",ROUND((P20*Portal_sozlamalari!$B$4+Q20*Portal_sozlamalari!$B$5+S20*Portal_sozlamalari!$B$6+R20*Portal_sozlamalari!$B$7)/SUM(Portal_sozlamalari!$B$4:$B$7),0)))</x:f>
      </x:c>
      <x:c r="U20" s="154" t="str">
        <x:f>IF(T20="","",IF(T20&gt;=90,"A’lo",IF(T20&gt;=80,"Yaxshi",IF(T20&gt;=70,"Qoniqarli",IF(T20&gt;=60,"O‘rtacha","Past")))))</x:f>
      </x:c>
    </x:row>
    <x:row r="21" ht="38" customHeight="1">
      <x:c r="A21" s="107" t="n">
        <x:v>19</x:v>
      </x:c>
      <x:c r="B21" s="108" t="n">
        <x:v>46172</x:v>
      </x:c>
      <x:c r="C21" s="107" t="str">
        <x:v>Shanba</x:v>
      </x:c>
      <x:c r="D21" s="107" t="str">
        <x:v>Hafta 3</x:v>
      </x:c>
      <x:c r="E21" s="109" t="str">
        <x:v>Gym kuni</x:v>
      </x:c>
      <x:c r="F21" s="110" t="str">
        <x:v>Gym: oyoq kuni — squat/leg press, RDL, lunge, calf, core</x:v>
      </x:c>
      <x:c r="G21" s="111" t="n">
        <x:f>VLOOKUP($E21,Ovqatlanish!$A$3:$E$8,2,FALSE)</x:f>
        <x:v>2500</x:v>
      </x:c>
      <x:c r="H21" s="111" t="n">
        <x:f>VLOOKUP($E21,Ovqatlanish!$A$3:$E$8,3,FALSE)</x:f>
        <x:v>170</x:v>
      </x:c>
      <x:c r="I21" s="111" t="n">
        <x:f>VLOOKUP($E21,Ovqatlanish!$A$3:$E$8,4,FALSE)</x:f>
        <x:v>300</x:v>
      </x:c>
      <x:c r="J21" s="111" t="n">
        <x:f>VLOOKUP($E21,Ovqatlanish!$A$3:$E$8,5,FALSE)</x:f>
        <x:v>70</x:v>
      </x:c>
      <x:c r="K21" s="148" t="str"/>
      <x:c r="L21" s="148" t="str"/>
      <x:c r="M21" s="149" t="str"/>
      <x:c r="N21" s="150" t="str"/>
      <x:c r="O21" s="115" t="str"/>
      <x:c r="P21" s="155"/>
      <x:c r="Q21" s="155"/>
      <x:c r="R21" s="157" t="str">
        <x:f>IF(K21="","",ROUND(MIN(K21/Portal_sozlamalari!$B$8*100,100),0))</x:f>
      </x:c>
      <x:c r="S21" s="157" t="str">
        <x:f>IF(L21="","",ROUND(MIN(L21/Portal_sozlamalari!$B$9*100,100),0))</x:f>
      </x:c>
      <x:c r="T21" s="157" t="str">
        <x:f>IF(OR(ISNUMBER(SEARCH("Dam",E21)),ISNUMBER(SEARCH("tiklanish",F21)),ISNUMBER(SEARCH("yengil",F21)),ISNUMBER(SEARCH("ofis",F21))),IF(OR(COUNT(Q21:S21)&lt;3,AND(P21="",V21="")),"",ROUND((MAX(N(P21),MIN(N(V21)/Portal_sozlamalari!$B$10*100,100))*Portal_sozlamalari!$B$4+Q21*Portal_sozlamalari!$B$5+S21*Portal_sozlamalari!$B$6+R21*Portal_sozlamalari!$B$7)/SUM(Portal_sozlamalari!$B$4:$B$7),0)),IF(COUNT(P21:S21)&lt;4,"",ROUND((P21*Portal_sozlamalari!$B$4+Q21*Portal_sozlamalari!$B$5+S21*Portal_sozlamalari!$B$6+R21*Portal_sozlamalari!$B$7)/SUM(Portal_sozlamalari!$B$4:$B$7),0)))</x:f>
      </x:c>
      <x:c r="U21" s="154" t="str">
        <x:f>IF(T21="","",IF(T21&gt;=90,"A’lo",IF(T21&gt;=80,"Yaxshi",IF(T21&gt;=70,"Qoniqarli",IF(T21&gt;=60,"O‘rtacha","Past")))))</x:f>
      </x:c>
    </x:row>
    <x:row r="22" ht="38" customHeight="1">
      <x:c r="A22" s="107" t="n">
        <x:v>20</x:v>
      </x:c>
      <x:c r="B22" s="108" t="n">
        <x:v>46173</x:v>
      </x:c>
      <x:c r="C22" s="107" t="str">
        <x:v>Yakshanba</x:v>
      </x:c>
      <x:c r="D22" s="107" t="str">
        <x:v>Hafta 3</x:v>
      </x:c>
      <x:c r="E22" s="109" t="str">
        <x:v>Dam / suzish ixtiyoriy</x:v>
      </x:c>
      <x:c r="F22" s="110" t="str">
        <x:v>Yengil suzish yoki upper body yengil; charchoq bo‘lsa dam</x:v>
      </x:c>
      <x:c r="G22" s="111" t="n">
        <x:f>VLOOKUP($E22,Ovqatlanish!$A$3:$E$8,2,FALSE)</x:f>
        <x:v>2350</x:v>
      </x:c>
      <x:c r="H22" s="111" t="n">
        <x:f>VLOOKUP($E22,Ovqatlanish!$A$3:$E$8,3,FALSE)</x:f>
        <x:v>170</x:v>
      </x:c>
      <x:c r="I22" s="111" t="n">
        <x:f>VLOOKUP($E22,Ovqatlanish!$A$3:$E$8,4,FALSE)</x:f>
        <x:v>255</x:v>
      </x:c>
      <x:c r="J22" s="111" t="n">
        <x:f>VLOOKUP($E22,Ovqatlanish!$A$3:$E$8,5,FALSE)</x:f>
        <x:v>70</x:v>
      </x:c>
      <x:c r="K22" s="148" t="str"/>
      <x:c r="L22" s="148" t="str"/>
      <x:c r="M22" s="149" t="str"/>
      <x:c r="N22" s="150" t="str"/>
      <x:c r="O22" s="115" t="str"/>
      <x:c r="P22" s="155"/>
      <x:c r="Q22" s="155"/>
      <x:c r="R22" s="157" t="str">
        <x:f>IF(K22="","",ROUND(MIN(K22/Portal_sozlamalari!$B$8*100,100),0))</x:f>
      </x:c>
      <x:c r="S22" s="157" t="str">
        <x:f>IF(L22="","",ROUND(MIN(L22/Portal_sozlamalari!$B$9*100,100),0))</x:f>
      </x:c>
      <x:c r="T22" s="157" t="str">
        <x:f>IF(OR(ISNUMBER(SEARCH("Dam",E22)),ISNUMBER(SEARCH("tiklanish",F22)),ISNUMBER(SEARCH("yengil",F22)),ISNUMBER(SEARCH("ofis",F22))),IF(OR(COUNT(Q22:S22)&lt;3,AND(P22="",V22="")),"",ROUND((MAX(N(P22),MIN(N(V22)/Portal_sozlamalari!$B$10*100,100))*Portal_sozlamalari!$B$4+Q22*Portal_sozlamalari!$B$5+S22*Portal_sozlamalari!$B$6+R22*Portal_sozlamalari!$B$7)/SUM(Portal_sozlamalari!$B$4:$B$7),0)),IF(COUNT(P22:S22)&lt;4,"",ROUND((P22*Portal_sozlamalari!$B$4+Q22*Portal_sozlamalari!$B$5+S22*Portal_sozlamalari!$B$6+R22*Portal_sozlamalari!$B$7)/SUM(Portal_sozlamalari!$B$4:$B$7),0)))</x:f>
      </x:c>
      <x:c r="U22" s="154" t="str">
        <x:f>IF(T22="","",IF(T22&gt;=90,"A’lo",IF(T22&gt;=80,"Yaxshi",IF(T22&gt;=70,"Qoniqarli",IF(T22&gt;=60,"O‘rtacha","Past")))))</x:f>
      </x:c>
    </x:row>
    <x:row r="23" ht="38" customHeight="1">
      <x:c r="A23" s="107" t="n">
        <x:v>21</x:v>
      </x:c>
      <x:c r="B23" s="108" t="n">
        <x:v>46174</x:v>
      </x:c>
      <x:c r="C23" s="107" t="str">
        <x:v>Dushanba</x:v>
      </x:c>
      <x:c r="D23" s="107" t="str">
        <x:v>Hafta 3</x:v>
      </x:c>
      <x:c r="E23" s="109" t="str">
        <x:v>Dam kuni</x:v>
      </x:c>
      <x:c r="F23" s="110" t="str">
        <x:v>Yurish 20–40 daqiqa, stretching, tiklanish</x:v>
      </x:c>
      <x:c r="G23" s="111" t="n">
        <x:f>VLOOKUP($E23,Ovqatlanish!$A$3:$E$8,2,FALSE)</x:f>
        <x:v>2200</x:v>
      </x:c>
      <x:c r="H23" s="111" t="n">
        <x:f>VLOOKUP($E23,Ovqatlanish!$A$3:$E$8,3,FALSE)</x:f>
        <x:v>170</x:v>
      </x:c>
      <x:c r="I23" s="111" t="n">
        <x:f>VLOOKUP($E23,Ovqatlanish!$A$3:$E$8,4,FALSE)</x:f>
        <x:v>210</x:v>
      </x:c>
      <x:c r="J23" s="111" t="n">
        <x:f>VLOOKUP($E23,Ovqatlanish!$A$3:$E$8,5,FALSE)</x:f>
        <x:v>75</x:v>
      </x:c>
      <x:c r="K23" s="148" t="str"/>
      <x:c r="L23" s="148" t="str"/>
      <x:c r="M23" s="149" t="str"/>
      <x:c r="N23" s="150" t="str"/>
      <x:c r="O23" s="115" t="str"/>
      <x:c r="P23" s="155"/>
      <x:c r="Q23" s="155"/>
      <x:c r="R23" s="157" t="str">
        <x:f>IF(K23="","",ROUND(MIN(K23/Portal_sozlamalari!$B$8*100,100),0))</x:f>
      </x:c>
      <x:c r="S23" s="157" t="str">
        <x:f>IF(L23="","",ROUND(MIN(L23/Portal_sozlamalari!$B$9*100,100),0))</x:f>
      </x:c>
      <x:c r="T23" s="157" t="str">
        <x:f>IF(OR(ISNUMBER(SEARCH("Dam",E23)),ISNUMBER(SEARCH("tiklanish",F23)),ISNUMBER(SEARCH("yengil",F23)),ISNUMBER(SEARCH("ofis",F23))),IF(OR(COUNT(Q23:S23)&lt;3,AND(P23="",V23="")),"",ROUND((MAX(N(P23),MIN(N(V23)/Portal_sozlamalari!$B$10*100,100))*Portal_sozlamalari!$B$4+Q23*Portal_sozlamalari!$B$5+S23*Portal_sozlamalari!$B$6+R23*Portal_sozlamalari!$B$7)/SUM(Portal_sozlamalari!$B$4:$B$7),0)),IF(COUNT(P23:S23)&lt;4,"",ROUND((P23*Portal_sozlamalari!$B$4+Q23*Portal_sozlamalari!$B$5+S23*Portal_sozlamalari!$B$6+R23*Portal_sozlamalari!$B$7)/SUM(Portal_sozlamalari!$B$4:$B$7),0)))</x:f>
      </x:c>
      <x:c r="U23" s="154" t="str">
        <x:f>IF(T23="","",IF(T23&gt;=90,"A’lo",IF(T23&gt;=80,"Yaxshi",IF(T23&gt;=70,"Qoniqarli",IF(T23&gt;=60,"O‘rtacha","Past")))))</x:f>
      </x:c>
    </x:row>
    <x:row r="24" ht="38" customHeight="1">
      <x:c r="A24" s="107" t="n">
        <x:v>22</x:v>
      </x:c>
      <x:c r="B24" s="108" t="n">
        <x:v>46175</x:v>
      </x:c>
      <x:c r="C24" s="107" t="str">
        <x:v>Seshanba</x:v>
      </x:c>
      <x:c r="D24" s="107" t="str">
        <x:v>Hafta 4</x:v>
      </x:c>
      <x:c r="E24" s="109" t="str">
        <x:v>Boks kuni</x:v>
      </x:c>
      <x:c r="F24" s="110" t="str">
        <x:v>Boks: texnika, kardio, koordinatsiya</x:v>
      </x:c>
      <x:c r="G24" s="111" t="n">
        <x:f>VLOOKUP($E24,Ovqatlanish!$A$3:$E$8,2,FALSE)</x:f>
        <x:v>2450</x:v>
      </x:c>
      <x:c r="H24" s="111" t="n">
        <x:f>VLOOKUP($E24,Ovqatlanish!$A$3:$E$8,3,FALSE)</x:f>
        <x:v>170</x:v>
      </x:c>
      <x:c r="I24" s="111" t="n">
        <x:f>VLOOKUP($E24,Ovqatlanish!$A$3:$E$8,4,FALSE)</x:f>
        <x:v>285</x:v>
      </x:c>
      <x:c r="J24" s="111" t="n">
        <x:f>VLOOKUP($E24,Ovqatlanish!$A$3:$E$8,5,FALSE)</x:f>
        <x:v>70</x:v>
      </x:c>
      <x:c r="K24" s="148" t="str"/>
      <x:c r="L24" s="148" t="str"/>
      <x:c r="M24" s="149" t="str"/>
      <x:c r="N24" s="150" t="str"/>
      <x:c r="O24" s="115" t="str"/>
      <x:c r="P24" s="155"/>
      <x:c r="Q24" s="155"/>
      <x:c r="R24" s="157" t="str">
        <x:f>IF(K24="","",ROUND(MIN(K24/Portal_sozlamalari!$B$8*100,100),0))</x:f>
      </x:c>
      <x:c r="S24" s="157" t="str">
        <x:f>IF(L24="","",ROUND(MIN(L24/Portal_sozlamalari!$B$9*100,100),0))</x:f>
      </x:c>
      <x:c r="T24" s="157" t="str">
        <x:f>IF(OR(ISNUMBER(SEARCH("Dam",E24)),ISNUMBER(SEARCH("tiklanish",F24)),ISNUMBER(SEARCH("yengil",F24)),ISNUMBER(SEARCH("ofis",F24))),IF(OR(COUNT(Q24:S24)&lt;3,AND(P24="",V24="")),"",ROUND((MAX(N(P24),MIN(N(V24)/Portal_sozlamalari!$B$10*100,100))*Portal_sozlamalari!$B$4+Q24*Portal_sozlamalari!$B$5+S24*Portal_sozlamalari!$B$6+R24*Portal_sozlamalari!$B$7)/SUM(Portal_sozlamalari!$B$4:$B$7),0)),IF(COUNT(P24:S24)&lt;4,"",ROUND((P24*Portal_sozlamalari!$B$4+Q24*Portal_sozlamalari!$B$5+S24*Portal_sozlamalari!$B$6+R24*Portal_sozlamalari!$B$7)/SUM(Portal_sozlamalari!$B$4:$B$7),0)))</x:f>
      </x:c>
      <x:c r="U24" s="154" t="str">
        <x:f>IF(T24="","",IF(T24&gt;=90,"A’lo",IF(T24&gt;=80,"Yaxshi",IF(T24&gt;=70,"Qoniqarli",IF(T24&gt;=60,"O‘rtacha","Past")))))</x:f>
      </x:c>
    </x:row>
    <x:row r="25" ht="38" customHeight="1">
      <x:c r="A25" s="107" t="n">
        <x:v>23</x:v>
      </x:c>
      <x:c r="B25" s="108" t="n">
        <x:v>46176</x:v>
      </x:c>
      <x:c r="C25" s="107" t="str">
        <x:v>Chorshanba</x:v>
      </x:c>
      <x:c r="D25" s="107" t="str">
        <x:v>Hafta 4</x:v>
      </x:c>
      <x:c r="E25" s="109" t="str">
        <x:v>Dam kuni</x:v>
      </x:c>
      <x:c r="F25" s="110" t="str">
        <x:v>Yurish 20–40 daqiqa, stretching, tiklanish</x:v>
      </x:c>
      <x:c r="G25" s="111" t="n">
        <x:f>VLOOKUP($E25,Ovqatlanish!$A$3:$E$8,2,FALSE)</x:f>
        <x:v>2200</x:v>
      </x:c>
      <x:c r="H25" s="111" t="n">
        <x:f>VLOOKUP($E25,Ovqatlanish!$A$3:$E$8,3,FALSE)</x:f>
        <x:v>170</x:v>
      </x:c>
      <x:c r="I25" s="111" t="n">
        <x:f>VLOOKUP($E25,Ovqatlanish!$A$3:$E$8,4,FALSE)</x:f>
        <x:v>210</x:v>
      </x:c>
      <x:c r="J25" s="111" t="n">
        <x:f>VLOOKUP($E25,Ovqatlanish!$A$3:$E$8,5,FALSE)</x:f>
        <x:v>75</x:v>
      </x:c>
      <x:c r="K25" s="148" t="str"/>
      <x:c r="L25" s="148" t="str"/>
      <x:c r="M25" s="149" t="str"/>
      <x:c r="N25" s="150" t="str"/>
      <x:c r="O25" s="115" t="str"/>
      <x:c r="P25" s="155"/>
      <x:c r="Q25" s="155"/>
      <x:c r="R25" s="157" t="str">
        <x:f>IF(K25="","",ROUND(MIN(K25/Portal_sozlamalari!$B$8*100,100),0))</x:f>
      </x:c>
      <x:c r="S25" s="157" t="str">
        <x:f>IF(L25="","",ROUND(MIN(L25/Portal_sozlamalari!$B$9*100,100),0))</x:f>
      </x:c>
      <x:c r="T25" s="157" t="str">
        <x:f>IF(OR(ISNUMBER(SEARCH("Dam",E25)),ISNUMBER(SEARCH("tiklanish",F25)),ISNUMBER(SEARCH("yengil",F25)),ISNUMBER(SEARCH("ofis",F25))),IF(OR(COUNT(Q25:S25)&lt;3,AND(P25="",V25="")),"",ROUND((MAX(N(P25),MIN(N(V25)/Portal_sozlamalari!$B$10*100,100))*Portal_sozlamalari!$B$4+Q25*Portal_sozlamalari!$B$5+S25*Portal_sozlamalari!$B$6+R25*Portal_sozlamalari!$B$7)/SUM(Portal_sozlamalari!$B$4:$B$7),0)),IF(COUNT(P25:S25)&lt;4,"",ROUND((P25*Portal_sozlamalari!$B$4+Q25*Portal_sozlamalari!$B$5+S25*Portal_sozlamalari!$B$6+R25*Portal_sozlamalari!$B$7)/SUM(Portal_sozlamalari!$B$4:$B$7),0)))</x:f>
      </x:c>
      <x:c r="U25" s="154" t="str">
        <x:f>IF(T25="","",IF(T25&gt;=90,"A’lo",IF(T25&gt;=80,"Yaxshi",IF(T25&gt;=70,"Qoniqarli",IF(T25&gt;=60,"O‘rtacha","Past")))))</x:f>
      </x:c>
    </x:row>
    <x:row r="26" ht="38" customHeight="1">
      <x:c r="A26" s="107" t="n">
        <x:v>24</x:v>
      </x:c>
      <x:c r="B26" s="108" t="n">
        <x:v>46177</x:v>
      </x:c>
      <x:c r="C26" s="107" t="str">
        <x:v>Payshanba</x:v>
      </x:c>
      <x:c r="D26" s="107" t="str">
        <x:v>Hafta 4</x:v>
      </x:c>
      <x:c r="E26" s="109" t="str">
        <x:v>Boks kuni</x:v>
      </x:c>
      <x:c r="F26" s="110" t="str">
        <x:v>Boks: sparring/texnika, chidamlilik</x:v>
      </x:c>
      <x:c r="G26" s="111" t="n">
        <x:f>VLOOKUP($E26,Ovqatlanish!$A$3:$E$8,2,FALSE)</x:f>
        <x:v>2450</x:v>
      </x:c>
      <x:c r="H26" s="111" t="n">
        <x:f>VLOOKUP($E26,Ovqatlanish!$A$3:$E$8,3,FALSE)</x:f>
        <x:v>170</x:v>
      </x:c>
      <x:c r="I26" s="111" t="n">
        <x:f>VLOOKUP($E26,Ovqatlanish!$A$3:$E$8,4,FALSE)</x:f>
        <x:v>285</x:v>
      </x:c>
      <x:c r="J26" s="111" t="n">
        <x:f>VLOOKUP($E26,Ovqatlanish!$A$3:$E$8,5,FALSE)</x:f>
        <x:v>70</x:v>
      </x:c>
      <x:c r="K26" s="148" t="str"/>
      <x:c r="L26" s="148" t="str"/>
      <x:c r="M26" s="149" t="str"/>
      <x:c r="N26" s="150" t="str"/>
      <x:c r="O26" s="115" t="str"/>
      <x:c r="P26" s="155"/>
      <x:c r="Q26" s="155"/>
      <x:c r="R26" s="157" t="str">
        <x:f>IF(K26="","",ROUND(MIN(K26/Portal_sozlamalari!$B$8*100,100),0))</x:f>
      </x:c>
      <x:c r="S26" s="157" t="str">
        <x:f>IF(L26="","",ROUND(MIN(L26/Portal_sozlamalari!$B$9*100,100),0))</x:f>
      </x:c>
      <x:c r="T26" s="157" t="str">
        <x:f>IF(OR(ISNUMBER(SEARCH("Dam",E26)),ISNUMBER(SEARCH("tiklanish",F26)),ISNUMBER(SEARCH("yengil",F26)),ISNUMBER(SEARCH("ofis",F26))),IF(OR(COUNT(Q26:S26)&lt;3,AND(P26="",V26="")),"",ROUND((MAX(N(P26),MIN(N(V26)/Portal_sozlamalari!$B$10*100,100))*Portal_sozlamalari!$B$4+Q26*Portal_sozlamalari!$B$5+S26*Portal_sozlamalari!$B$6+R26*Portal_sozlamalari!$B$7)/SUM(Portal_sozlamalari!$B$4:$B$7),0)),IF(COUNT(P26:S26)&lt;4,"",ROUND((P26*Portal_sozlamalari!$B$4+Q26*Portal_sozlamalari!$B$5+S26*Portal_sozlamalari!$B$6+R26*Portal_sozlamalari!$B$7)/SUM(Portal_sozlamalari!$B$4:$B$7),0)))</x:f>
      </x:c>
      <x:c r="U26" s="154" t="str">
        <x:f>IF(T26="","",IF(T26&gt;=90,"A’lo",IF(T26&gt;=80,"Yaxshi",IF(T26&gt;=70,"Qoniqarli",IF(T26&gt;=60,"O‘rtacha","Past")))))</x:f>
      </x:c>
    </x:row>
    <x:row r="27" ht="38" customHeight="1">
      <x:c r="A27" s="107" t="n">
        <x:v>25</x:v>
      </x:c>
      <x:c r="B27" s="108" t="n">
        <x:v>46178</x:v>
      </x:c>
      <x:c r="C27" s="107" t="str">
        <x:v>Juma</x:v>
      </x:c>
      <x:c r="D27" s="107" t="str">
        <x:v>Hafta 4</x:v>
      </x:c>
      <x:c r="E27" s="109" t="str">
        <x:v>Dam kuni</x:v>
      </x:c>
      <x:c r="F27" s="110" t="str">
        <x:v>Yurish 20–40 daqiqa, stretching, tiklanish</x:v>
      </x:c>
      <x:c r="G27" s="111" t="n">
        <x:f>VLOOKUP($E27,Ovqatlanish!$A$3:$E$8,2,FALSE)</x:f>
        <x:v>2200</x:v>
      </x:c>
      <x:c r="H27" s="111" t="n">
        <x:f>VLOOKUP($E27,Ovqatlanish!$A$3:$E$8,3,FALSE)</x:f>
        <x:v>170</x:v>
      </x:c>
      <x:c r="I27" s="111" t="n">
        <x:f>VLOOKUP($E27,Ovqatlanish!$A$3:$E$8,4,FALSE)</x:f>
        <x:v>210</x:v>
      </x:c>
      <x:c r="J27" s="111" t="n">
        <x:f>VLOOKUP($E27,Ovqatlanish!$A$3:$E$8,5,FALSE)</x:f>
        <x:v>75</x:v>
      </x:c>
      <x:c r="K27" s="148" t="str"/>
      <x:c r="L27" s="148" t="str"/>
      <x:c r="M27" s="149" t="str"/>
      <x:c r="N27" s="150" t="str"/>
      <x:c r="O27" s="115" t="str"/>
      <x:c r="P27" s="155"/>
      <x:c r="Q27" s="155"/>
      <x:c r="R27" s="157" t="str">
        <x:f>IF(K27="","",ROUND(MIN(K27/Portal_sozlamalari!$B$8*100,100),0))</x:f>
      </x:c>
      <x:c r="S27" s="157" t="str">
        <x:f>IF(L27="","",ROUND(MIN(L27/Portal_sozlamalari!$B$9*100,100),0))</x:f>
      </x:c>
      <x:c r="T27" s="157" t="str">
        <x:f>IF(OR(ISNUMBER(SEARCH("Dam",E27)),ISNUMBER(SEARCH("tiklanish",F27)),ISNUMBER(SEARCH("yengil",F27)),ISNUMBER(SEARCH("ofis",F27))),IF(OR(COUNT(Q27:S27)&lt;3,AND(P27="",V27="")),"",ROUND((MAX(N(P27),MIN(N(V27)/Portal_sozlamalari!$B$10*100,100))*Portal_sozlamalari!$B$4+Q27*Portal_sozlamalari!$B$5+S27*Portal_sozlamalari!$B$6+R27*Portal_sozlamalari!$B$7)/SUM(Portal_sozlamalari!$B$4:$B$7),0)),IF(COUNT(P27:S27)&lt;4,"",ROUND((P27*Portal_sozlamalari!$B$4+Q27*Portal_sozlamalari!$B$5+S27*Portal_sozlamalari!$B$6+R27*Portal_sozlamalari!$B$7)/SUM(Portal_sozlamalari!$B$4:$B$7),0)))</x:f>
      </x:c>
      <x:c r="U27" s="154" t="str">
        <x:f>IF(T27="","",IF(T27&gt;=90,"A’lo",IF(T27&gt;=80,"Yaxshi",IF(T27&gt;=70,"Qoniqarli",IF(T27&gt;=60,"O‘rtacha","Past")))))</x:f>
      </x:c>
    </x:row>
    <x:row r="28" ht="38" customHeight="1">
      <x:c r="A28" s="107" t="n">
        <x:v>26</x:v>
      </x:c>
      <x:c r="B28" s="108" t="n">
        <x:v>46179</x:v>
      </x:c>
      <x:c r="C28" s="107" t="str">
        <x:v>Shanba</x:v>
      </x:c>
      <x:c r="D28" s="107" t="str">
        <x:v>Hafta 4</x:v>
      </x:c>
      <x:c r="E28" s="109" t="str">
        <x:v>Gym kuni</x:v>
      </x:c>
      <x:c r="F28" s="110" t="str">
        <x:v>Gym: oyoq kuni — squat/leg press, RDL, lunge, calf, core</x:v>
      </x:c>
      <x:c r="G28" s="111" t="n">
        <x:f>VLOOKUP($E28,Ovqatlanish!$A$3:$E$8,2,FALSE)</x:f>
        <x:v>2500</x:v>
      </x:c>
      <x:c r="H28" s="111" t="n">
        <x:f>VLOOKUP($E28,Ovqatlanish!$A$3:$E$8,3,FALSE)</x:f>
        <x:v>170</x:v>
      </x:c>
      <x:c r="I28" s="111" t="n">
        <x:f>VLOOKUP($E28,Ovqatlanish!$A$3:$E$8,4,FALSE)</x:f>
        <x:v>300</x:v>
      </x:c>
      <x:c r="J28" s="111" t="n">
        <x:f>VLOOKUP($E28,Ovqatlanish!$A$3:$E$8,5,FALSE)</x:f>
        <x:v>70</x:v>
      </x:c>
      <x:c r="K28" s="148" t="str"/>
      <x:c r="L28" s="148" t="str"/>
      <x:c r="M28" s="149" t="str"/>
      <x:c r="N28" s="150" t="str"/>
      <x:c r="O28" s="115" t="str"/>
      <x:c r="P28" s="155"/>
      <x:c r="Q28" s="155"/>
      <x:c r="R28" s="157" t="str">
        <x:f>IF(K28="","",ROUND(MIN(K28/Portal_sozlamalari!$B$8*100,100),0))</x:f>
      </x:c>
      <x:c r="S28" s="157" t="str">
        <x:f>IF(L28="","",ROUND(MIN(L28/Portal_sozlamalari!$B$9*100,100),0))</x:f>
      </x:c>
      <x:c r="T28" s="157" t="str">
        <x:f>IF(OR(ISNUMBER(SEARCH("Dam",E28)),ISNUMBER(SEARCH("tiklanish",F28)),ISNUMBER(SEARCH("yengil",F28)),ISNUMBER(SEARCH("ofis",F28))),IF(OR(COUNT(Q28:S28)&lt;3,AND(P28="",V28="")),"",ROUND((MAX(N(P28),MIN(N(V28)/Portal_sozlamalari!$B$10*100,100))*Portal_sozlamalari!$B$4+Q28*Portal_sozlamalari!$B$5+S28*Portal_sozlamalari!$B$6+R28*Portal_sozlamalari!$B$7)/SUM(Portal_sozlamalari!$B$4:$B$7),0)),IF(COUNT(P28:S28)&lt;4,"",ROUND((P28*Portal_sozlamalari!$B$4+Q28*Portal_sozlamalari!$B$5+S28*Portal_sozlamalari!$B$6+R28*Portal_sozlamalari!$B$7)/SUM(Portal_sozlamalari!$B$4:$B$7),0)))</x:f>
      </x:c>
      <x:c r="U28" s="154" t="str">
        <x:f>IF(T28="","",IF(T28&gt;=90,"A’lo",IF(T28&gt;=80,"Yaxshi",IF(T28&gt;=70,"Qoniqarli",IF(T28&gt;=60,"O‘rtacha","Past")))))</x:f>
      </x:c>
    </x:row>
    <x:row r="29" ht="38" customHeight="1">
      <x:c r="A29" s="107" t="n">
        <x:v>27</x:v>
      </x:c>
      <x:c r="B29" s="108" t="n">
        <x:v>46180</x:v>
      </x:c>
      <x:c r="C29" s="107" t="str">
        <x:v>Yakshanba</x:v>
      </x:c>
      <x:c r="D29" s="107" t="str">
        <x:v>Hafta 4</x:v>
      </x:c>
      <x:c r="E29" s="109" t="str">
        <x:v>Dam / suzish ixtiyoriy</x:v>
      </x:c>
      <x:c r="F29" s="110" t="str">
        <x:v>Yengil suzish yoki upper body yengil; charchoq bo‘lsa dam</x:v>
      </x:c>
      <x:c r="G29" s="111" t="n">
        <x:f>VLOOKUP($E29,Ovqatlanish!$A$3:$E$8,2,FALSE)</x:f>
        <x:v>2350</x:v>
      </x:c>
      <x:c r="H29" s="111" t="n">
        <x:f>VLOOKUP($E29,Ovqatlanish!$A$3:$E$8,3,FALSE)</x:f>
        <x:v>170</x:v>
      </x:c>
      <x:c r="I29" s="111" t="n">
        <x:f>VLOOKUP($E29,Ovqatlanish!$A$3:$E$8,4,FALSE)</x:f>
        <x:v>255</x:v>
      </x:c>
      <x:c r="J29" s="111" t="n">
        <x:f>VLOOKUP($E29,Ovqatlanish!$A$3:$E$8,5,FALSE)</x:f>
        <x:v>70</x:v>
      </x:c>
      <x:c r="K29" s="148" t="str"/>
      <x:c r="L29" s="148" t="str"/>
      <x:c r="M29" s="149" t="str"/>
      <x:c r="N29" s="150" t="str"/>
      <x:c r="O29" s="115" t="str"/>
      <x:c r="P29" s="155"/>
      <x:c r="Q29" s="155"/>
      <x:c r="R29" s="157" t="str">
        <x:f>IF(K29="","",ROUND(MIN(K29/Portal_sozlamalari!$B$8*100,100),0))</x:f>
      </x:c>
      <x:c r="S29" s="157" t="str">
        <x:f>IF(L29="","",ROUND(MIN(L29/Portal_sozlamalari!$B$9*100,100),0))</x:f>
      </x:c>
      <x:c r="T29" s="157" t="str">
        <x:f>IF(OR(ISNUMBER(SEARCH("Dam",E29)),ISNUMBER(SEARCH("tiklanish",F29)),ISNUMBER(SEARCH("yengil",F29)),ISNUMBER(SEARCH("ofis",F29))),IF(OR(COUNT(Q29:S29)&lt;3,AND(P29="",V29="")),"",ROUND((MAX(N(P29),MIN(N(V29)/Portal_sozlamalari!$B$10*100,100))*Portal_sozlamalari!$B$4+Q29*Portal_sozlamalari!$B$5+S29*Portal_sozlamalari!$B$6+R29*Portal_sozlamalari!$B$7)/SUM(Portal_sozlamalari!$B$4:$B$7),0)),IF(COUNT(P29:S29)&lt;4,"",ROUND((P29*Portal_sozlamalari!$B$4+Q29*Portal_sozlamalari!$B$5+S29*Portal_sozlamalari!$B$6+R29*Portal_sozlamalari!$B$7)/SUM(Portal_sozlamalari!$B$4:$B$7),0)))</x:f>
      </x:c>
      <x:c r="U29" s="154" t="str">
        <x:f>IF(T29="","",IF(T29&gt;=90,"A’lo",IF(T29&gt;=80,"Yaxshi",IF(T29&gt;=70,"Qoniqarli",IF(T29&gt;=60,"O‘rtacha","Past")))))</x:f>
      </x:c>
    </x:row>
    <x:row r="30" ht="38" customHeight="1">
      <x:c r="A30" s="107" t="n">
        <x:v>28</x:v>
      </x:c>
      <x:c r="B30" s="108" t="n">
        <x:v>46181</x:v>
      </x:c>
      <x:c r="C30" s="107" t="str">
        <x:v>Dushanba</x:v>
      </x:c>
      <x:c r="D30" s="107" t="str">
        <x:v>Hafta 4</x:v>
      </x:c>
      <x:c r="E30" s="109" t="str">
        <x:v>Dam kuni</x:v>
      </x:c>
      <x:c r="F30" s="110" t="str">
        <x:v>Yurish 20–40 daqiqa, stretching, tiklanish</x:v>
      </x:c>
      <x:c r="G30" s="111" t="n">
        <x:f>VLOOKUP($E30,Ovqatlanish!$A$3:$E$8,2,FALSE)</x:f>
        <x:v>2200</x:v>
      </x:c>
      <x:c r="H30" s="111" t="n">
        <x:f>VLOOKUP($E30,Ovqatlanish!$A$3:$E$8,3,FALSE)</x:f>
        <x:v>170</x:v>
      </x:c>
      <x:c r="I30" s="111" t="n">
        <x:f>VLOOKUP($E30,Ovqatlanish!$A$3:$E$8,4,FALSE)</x:f>
        <x:v>210</x:v>
      </x:c>
      <x:c r="J30" s="111" t="n">
        <x:f>VLOOKUP($E30,Ovqatlanish!$A$3:$E$8,5,FALSE)</x:f>
        <x:v>75</x:v>
      </x:c>
      <x:c r="K30" s="148" t="str"/>
      <x:c r="L30" s="148" t="str"/>
      <x:c r="M30" s="149" t="str"/>
      <x:c r="N30" s="150" t="str"/>
      <x:c r="O30" s="115" t="str"/>
      <x:c r="P30" s="155"/>
      <x:c r="Q30" s="155"/>
      <x:c r="R30" s="157" t="str">
        <x:f>IF(K30="","",ROUND(MIN(K30/Portal_sozlamalari!$B$8*100,100),0))</x:f>
      </x:c>
      <x:c r="S30" s="157" t="str">
        <x:f>IF(L30="","",ROUND(MIN(L30/Portal_sozlamalari!$B$9*100,100),0))</x:f>
      </x:c>
      <x:c r="T30" s="157" t="str">
        <x:f>IF(OR(ISNUMBER(SEARCH("Dam",E30)),ISNUMBER(SEARCH("tiklanish",F30)),ISNUMBER(SEARCH("yengil",F30)),ISNUMBER(SEARCH("ofis",F30))),IF(OR(COUNT(Q30:S30)&lt;3,AND(P30="",V30="")),"",ROUND((MAX(N(P30),MIN(N(V30)/Portal_sozlamalari!$B$10*100,100))*Portal_sozlamalari!$B$4+Q30*Portal_sozlamalari!$B$5+S30*Portal_sozlamalari!$B$6+R30*Portal_sozlamalari!$B$7)/SUM(Portal_sozlamalari!$B$4:$B$7),0)),IF(COUNT(P30:S30)&lt;4,"",ROUND((P30*Portal_sozlamalari!$B$4+Q30*Portal_sozlamalari!$B$5+S30*Portal_sozlamalari!$B$6+R30*Portal_sozlamalari!$B$7)/SUM(Portal_sozlamalari!$B$4:$B$7),0)))</x:f>
      </x:c>
      <x:c r="U30" s="154" t="str">
        <x:f>IF(T30="","",IF(T30&gt;=90,"A’lo",IF(T30&gt;=80,"Yaxshi",IF(T30&gt;=70,"Qoniqarli",IF(T30&gt;=60,"O‘rtacha","Past")))))</x:f>
      </x:c>
    </x:row>
    <x:row r="31" ht="38" customHeight="1">
      <x:c r="A31" s="107" t="n">
        <x:v>29</x:v>
      </x:c>
      <x:c r="B31" s="108" t="n">
        <x:v>46182</x:v>
      </x:c>
      <x:c r="C31" s="107" t="str">
        <x:v>Seshanba</x:v>
      </x:c>
      <x:c r="D31" s="107" t="str">
        <x:v>Hafta 5</x:v>
      </x:c>
      <x:c r="E31" s="109" t="str">
        <x:v>Boks kuni</x:v>
      </x:c>
      <x:c r="F31" s="110" t="str">
        <x:v>Boks: texnika, kardio, koordinatsiya</x:v>
      </x:c>
      <x:c r="G31" s="111" t="n">
        <x:f>VLOOKUP($E31,Ovqatlanish!$A$3:$E$8,2,FALSE)</x:f>
        <x:v>2450</x:v>
      </x:c>
      <x:c r="H31" s="111" t="n">
        <x:f>VLOOKUP($E31,Ovqatlanish!$A$3:$E$8,3,FALSE)</x:f>
        <x:v>170</x:v>
      </x:c>
      <x:c r="I31" s="111" t="n">
        <x:f>VLOOKUP($E31,Ovqatlanish!$A$3:$E$8,4,FALSE)</x:f>
        <x:v>285</x:v>
      </x:c>
      <x:c r="J31" s="111" t="n">
        <x:f>VLOOKUP($E31,Ovqatlanish!$A$3:$E$8,5,FALSE)</x:f>
        <x:v>70</x:v>
      </x:c>
      <x:c r="K31" s="148" t="str"/>
      <x:c r="L31" s="148" t="str"/>
      <x:c r="M31" s="149" t="str"/>
      <x:c r="N31" s="150" t="str"/>
      <x:c r="O31" s="115" t="str"/>
      <x:c r="P31" s="155"/>
      <x:c r="Q31" s="155"/>
      <x:c r="R31" s="157" t="str">
        <x:f>IF(K31="","",ROUND(MIN(K31/Portal_sozlamalari!$B$8*100,100),0))</x:f>
      </x:c>
      <x:c r="S31" s="157" t="str">
        <x:f>IF(L31="","",ROUND(MIN(L31/Portal_sozlamalari!$B$9*100,100),0))</x:f>
      </x:c>
      <x:c r="T31" s="157" t="str">
        <x:f>IF(OR(ISNUMBER(SEARCH("Dam",E31)),ISNUMBER(SEARCH("tiklanish",F31)),ISNUMBER(SEARCH("yengil",F31)),ISNUMBER(SEARCH("ofis",F31))),IF(OR(COUNT(Q31:S31)&lt;3,AND(P31="",V31="")),"",ROUND((MAX(N(P31),MIN(N(V31)/Portal_sozlamalari!$B$10*100,100))*Portal_sozlamalari!$B$4+Q31*Portal_sozlamalari!$B$5+S31*Portal_sozlamalari!$B$6+R31*Portal_sozlamalari!$B$7)/SUM(Portal_sozlamalari!$B$4:$B$7),0)),IF(COUNT(P31:S31)&lt;4,"",ROUND((P31*Portal_sozlamalari!$B$4+Q31*Portal_sozlamalari!$B$5+S31*Portal_sozlamalari!$B$6+R31*Portal_sozlamalari!$B$7)/SUM(Portal_sozlamalari!$B$4:$B$7),0)))</x:f>
      </x:c>
      <x:c r="U31" s="154" t="str">
        <x:f>IF(T31="","",IF(T31&gt;=90,"A’lo",IF(T31&gt;=80,"Yaxshi",IF(T31&gt;=70,"Qoniqarli",IF(T31&gt;=60,"O‘rtacha","Past")))))</x:f>
      </x:c>
    </x:row>
    <x:row r="32" ht="38" customHeight="1">
      <x:c r="A32" s="107" t="n">
        <x:v>30</x:v>
      </x:c>
      <x:c r="B32" s="108" t="n">
        <x:v>46183</x:v>
      </x:c>
      <x:c r="C32" s="107" t="str">
        <x:v>Chorshanba</x:v>
      </x:c>
      <x:c r="D32" s="107" t="str">
        <x:v>Hafta 5</x:v>
      </x:c>
      <x:c r="E32" s="109" t="str">
        <x:v>Dam kuni</x:v>
      </x:c>
      <x:c r="F32" s="110" t="str">
        <x:v>Yurish 20–40 daqiqa, stretching, tiklanish</x:v>
      </x:c>
      <x:c r="G32" s="111" t="n">
        <x:f>VLOOKUP($E32,Ovqatlanish!$A$3:$E$8,2,FALSE)</x:f>
        <x:v>2200</x:v>
      </x:c>
      <x:c r="H32" s="111" t="n">
        <x:f>VLOOKUP($E32,Ovqatlanish!$A$3:$E$8,3,FALSE)</x:f>
        <x:v>170</x:v>
      </x:c>
      <x:c r="I32" s="111" t="n">
        <x:f>VLOOKUP($E32,Ovqatlanish!$A$3:$E$8,4,FALSE)</x:f>
        <x:v>210</x:v>
      </x:c>
      <x:c r="J32" s="111" t="n">
        <x:f>VLOOKUP($E32,Ovqatlanish!$A$3:$E$8,5,FALSE)</x:f>
        <x:v>75</x:v>
      </x:c>
      <x:c r="K32" s="148" t="str"/>
      <x:c r="L32" s="148" t="str"/>
      <x:c r="M32" s="149" t="str"/>
      <x:c r="N32" s="150" t="str"/>
      <x:c r="O32" s="115" t="str"/>
      <x:c r="P32" s="155"/>
      <x:c r="Q32" s="155"/>
      <x:c r="R32" s="157" t="str">
        <x:f>IF(K32="","",ROUND(MIN(K32/Portal_sozlamalari!$B$8*100,100),0))</x:f>
      </x:c>
      <x:c r="S32" s="157" t="str">
        <x:f>IF(L32="","",ROUND(MIN(L32/Portal_sozlamalari!$B$9*100,100),0))</x:f>
      </x:c>
      <x:c r="T32" s="157" t="str">
        <x:f>IF(OR(ISNUMBER(SEARCH("Dam",E32)),ISNUMBER(SEARCH("tiklanish",F32)),ISNUMBER(SEARCH("yengil",F32)),ISNUMBER(SEARCH("ofis",F32))),IF(OR(COUNT(Q32:S32)&lt;3,AND(P32="",V32="")),"",ROUND((MAX(N(P32),MIN(N(V32)/Portal_sozlamalari!$B$10*100,100))*Portal_sozlamalari!$B$4+Q32*Portal_sozlamalari!$B$5+S32*Portal_sozlamalari!$B$6+R32*Portal_sozlamalari!$B$7)/SUM(Portal_sozlamalari!$B$4:$B$7),0)),IF(COUNT(P32:S32)&lt;4,"",ROUND((P32*Portal_sozlamalari!$B$4+Q32*Portal_sozlamalari!$B$5+S32*Portal_sozlamalari!$B$6+R32*Portal_sozlamalari!$B$7)/SUM(Portal_sozlamalari!$B$4:$B$7),0)))</x:f>
      </x:c>
      <x:c r="U32" s="154" t="str">
        <x:f>IF(T32="","",IF(T32&gt;=90,"A’lo",IF(T32&gt;=80,"Yaxshi",IF(T32&gt;=70,"Qoniqarli",IF(T32&gt;=60,"O‘rtacha","Past")))))</x:f>
      </x:c>
    </x:row>
  </x:sheetData>
  <x:mergeCells>
    <x:mergeCell ref="A1:O1"/>
    <x:mergeCell ref="Q2:U2"/>
  </x:mergeCells>
  <x:conditionalFormatting sqref="G3:G3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{F257182F-E437-E33F-FBAE-EDD831C40636}</x14:id>
        </x:ext>
      </x:extLst>
    </x:cfRule>
  </x:conditionalFormatting>
  <x:conditionalFormatting sqref="N3:N32">
    <x:cfRule type="expression" dxfId="0" priority="2">
      <x:formula>$N3="Ha"</x:formula>
    </x:cfRule>
    <x:cfRule type="expression" dxfId="1" priority="3">
      <x:formula>$N3="Yo‘q"</x:formula>
    </x:cfRule>
    <x:cfRule type="expression" dxfId="2" priority="4">
      <x:formula>$N3="Qisman"</x:formula>
    </x:cfRule>
  </x:conditionalFormatting>
  <x:conditionalFormatting sqref="P3:P32">
    <x:cfRule type="colorScale" priority="5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Q3:Q32">
    <x:cfRule type="colorScale" priority="6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R3:R32">
    <x:cfRule type="colorScale" priority="7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S3:S32">
    <x:cfRule type="colorScale" priority="8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T3:T32">
    <x:cfRule type="colorScale" priority="9">
      <x:colorScale>
        <x:cfvo type="min"/>
        <x:cfvo type="percentile" val="50"/>
        <x:cfvo type="max"/>
        <x:color rgb="FFFECACA"/>
        <x:color rgb="FFFEF3C7"/>
        <x:color rgb="FFDCFCE7"/>
      </x:colorScale>
    </x:cfRule>
    <x:cfRule type="dataBar" priority="16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{E87785F6-4C2D-3A0A-E6B5-022E431232E7}</x14:id>
        </x:ext>
      </x:extLst>
    </x:cfRule>
  </x:conditionalFormatting>
  <x:conditionalFormatting sqref="U3:U32">
    <x:cfRule type="expression" dxfId="3" priority="10">
      <x:formula>U3="A'lo"</x:formula>
    </x:cfRule>
    <x:cfRule type="expression" dxfId="4" priority="11">
      <x:formula>U3="Yaxshi"</x:formula>
    </x:cfRule>
    <x:cfRule type="expression" dxfId="5" priority="12">
      <x:formula>U3="Qoniqarli"</x:formula>
    </x:cfRule>
    <x:cfRule type="expression" dxfId="6" priority="13">
      <x:formula>OR(U3="O'rtacha",U3="Past")</x:formula>
    </x:cfRule>
  </x:conditionalFormatting>
  <x:conditionalFormatting sqref="P3:T32">
    <x:cfRule type="colorScale" priority="14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conditionalFormatting sqref="R3:S32">
    <x:cfRule type="dataBar" priority="1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{7D5DFD55-9CA3-97B6-CE74-194FDDBDE13D}</x14:id>
        </x:ext>
      </x:extLst>
    </x:cfRule>
  </x:conditionalFormatting>
  <x:dataValidations count="5">
    <x:dataValidation type="list" sqref="E3:E32">
      <x:formula1>"Boks kuni,Gym kuni,Dam / suzish ixtiyoriy,Dam kuni,Upper body kuni"</x:formula1>
    </x:dataValidation>
    <x:dataValidation type="list" sqref="N3:N32">
      <x:formula1>"Ha,Yo‘q,Qisman"</x:formula1>
    </x:dataValidation>
    <x:dataValidation type="whole" operator="between" showInputMessage="1" showErrorMessage="1" errorTitle="Noto‘g‘ri qiymat" error="Faqat 0% dan 100% gacha kiriting." promptTitle="Foiz kiriting" prompt="0% dan 100% gacha qiymat kiriting. Masalan 80% yoki 0.8." sqref="P3:Q32">
      <x:formula1>0</x:formula1>
      <x:formula2>100</x:formula2>
    </x:dataValidation>
    <x:dataValidation type="decimal" operator="between" sqref="K3:K32">
      <x:formula1>0</x:formula1>
      <x:formula2>5</x:formula2>
    </x:dataValidation>
    <x:dataValidation type="decimal" operator="between" sqref="L3:L32">
      <x:formula1>0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a5280639724d9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57182F-E437-E33F-FBAE-EDD831C40636}">
            <x14:dataBar gradient="1">
              <x14:cfvo type="min"/>
              <x14:cfvo type="max"/>
              <x14:fillColor rgb="FF5B9BD5"/>
            </x14:dataBar>
          </x14:cfRule>
          <xm:sqref>G3:G32</xm:sqref>
        </x14:conditionalFormatting>
        <x14:conditionalFormatting>
          <x14:cfRule type="dataBar" priority="16" id="{E87785F6-4C2D-3A0A-E6B5-022E431232E7}">
            <x14:dataBar gradient="1">
              <x14:cfvo type="min"/>
              <x14:cfvo type="max"/>
              <x14:fillColor rgb="FF70AD47"/>
            </x14:dataBar>
          </x14:cfRule>
          <xm:sqref>T3:T32</xm:sqref>
        </x14:conditionalFormatting>
        <x14:conditionalFormatting>
          <x14:cfRule type="dataBar" priority="15" id="{7D5DFD55-9CA3-97B6-CE74-194FDDBDE13D}">
            <x14:dataBar gradient="1">
              <x14:cfvo type="min"/>
              <x14:cfvo type="max"/>
              <x14:fillColor rgb="FF5B9BD5"/>
            </x14:dataBar>
          </x14:cfRule>
          <xm:sqref>R3:S32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60" hidden="0" customWidth="1"/>
  </x:cols>
  <x:sheetData>
    <x:row r="1" ht="15" hidden="0" customHeight="1">
      <x:c r="A1" s="16" t="str">
        <x:v>Manba</x:v>
      </x:c>
      <x:c r="B1" s="16" t="str">
        <x:v>URL</x:v>
      </x:c>
      <x:c r="C1" s="16" t="str">
        <x:v>Nima uchun ishlatildi</x:v>
      </x:c>
    </x:row>
    <x:row r="2">
      <x:c r="A2" s="32" t="str">
        <x:v>WHO physical activity</x:v>
      </x:c>
      <x:c r="B2" s="32" t="str">
        <x:v>https://www.who.int/initiatives/behealthy/physical-activity</x:v>
      </x:c>
      <x:c r="C2" s="32" t="str">
        <x:v>Haftasiga kamida 2 kun mushak kuchaytiruvchi mashqlar tamoyili</x:v>
      </x:c>
    </x:row>
    <x:row r="3">
      <x:c r="A3" s="32" t="str">
        <x:v>ACSM Resistance Training Position Stand</x:v>
      </x:c>
      <x:c r="B3" s="32" t="str">
        <x:v>https://pubmed.ncbi.nlm.nih.gov/19204579/</x:v>
      </x:c>
      <x:c r="C3" s="32" t="str">
        <x:v>Yangi/orta darajadagi sportchilar uchun qarshilik mashqlari va progress qoidalari</x:v>
      </x:c>
    </x:row>
    <x:row r="4">
      <x:c r="A4" s="32" t="str">
        <x:v>ISSN Protein Position Stand</x:v>
      </x:c>
      <x:c r="B4" s="32" t="str">
        <x:v>https://pubmed.ncbi.nlm.nih.gov/28642676/</x:v>
      </x:c>
      <x:c r="C4" s="32" t="str">
        <x:v>Sport bilan shug‘ullanuvchilar uchun 1.4–2.0 g/kg/kun protein diapazoni</x:v>
      </x:c>
    </x:row>
    <x:row r="5">
      <x:c r="A5" s="32" t="str">
        <x:v>ISSN Creatine Position Stand</x:v>
      </x:c>
      <x:c r="B5" s="32" t="str">
        <x:v>https://jissn.biomedcentral.com/articles/10.1186/s12970-017-0173-z</x:v>
      </x:c>
      <x:c r="C5" s="32" t="str">
        <x:v>Kreatin monogidrat bo‘yicha 3–5 g/kun amaliy dozalar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3" hidden="0" customWidth="1"/>
    <x:col min="5" max="5" width="10" hidden="0" customWidth="1"/>
    <x:col min="6" max="6" width="28" hidden="0" customWidth="1"/>
    <x:col min="7" max="7" width="50" hidden="0" customWidth="1"/>
    <x:col min="8" max="8" width="46" hidden="0" customWidth="1"/>
  </x:cols>
  <x:sheetData>
    <x:row r="1" ht="28" customHeight="1">
      <x:c r="A1" s="47" t="str">
        <x:v>MASHG‘ULOT TURIGA QARAB OVQATLANISH VA MAKRO REJA</x:v>
      </x:c>
      <x:c r="B1" s="47" t="str"/>
      <x:c r="C1" s="47" t="str"/>
      <x:c r="D1" s="47" t="str"/>
      <x:c r="E1" s="47" t="str"/>
      <x:c r="F1" s="47" t="str"/>
      <x:c r="G1" s="47" t="str"/>
      <x:c r="H1" s="47" t="str"/>
    </x:row>
    <x:row r="2" ht="34" customHeight="1">
      <x:c r="A2" s="52" t="str">
        <x:v>Kun turi</x:v>
      </x:c>
      <x:c r="B2" s="52" t="str">
        <x:v>Kkal</x:v>
      </x:c>
      <x:c r="C2" s="52" t="str">
        <x:v>Oqsil (g)</x:v>
      </x:c>
      <x:c r="D2" s="52" t="str">
        <x:v>Uglevod (g)</x:v>
      </x:c>
      <x:c r="E2" s="52" t="str">
        <x:v>Yog‘ (g)</x:v>
      </x:c>
      <x:c r="F2" s="52" t="str">
        <x:v>Qachon qo‘llash</x:v>
      </x:c>
      <x:c r="G2" s="52" t="str">
        <x:v>Ovqatlanish namunasi</x:v>
      </x:c>
      <x:c r="H2" s="52" t="str">
        <x:v>Izoh</x:v>
      </x:c>
    </x:row>
    <x:row r="3" ht="58" customHeight="1">
      <x:c r="A3" s="82" t="str">
        <x:v>Boks kuni</x:v>
      </x:c>
      <x:c r="B3" s="85" t="n">
        <x:v>2450</x:v>
      </x:c>
      <x:c r="C3" s="85" t="n">
        <x:v>170</x:v>
      </x:c>
      <x:c r="D3" s="85" t="n">
        <x:v>285</x:v>
      </x:c>
      <x:c r="E3" s="85" t="n">
        <x:v>70</x:v>
      </x:c>
      <x:c r="F3" s="84" t="str">
        <x:v>Seshanba va payshanba</x:v>
      </x:c>
      <x:c r="G3" s="84" t="str">
        <x:v>Tuxum/suli + tovuq/guruch/salat + tvorog yoki suzma + meva</x:v>
      </x:c>
      <x:c r="H3" s="84" t="str">
        <x:v>Boks oldidan uglevod yetarli bo‘lsin; yog‘ni juda oshirmang</x:v>
      </x:c>
    </x:row>
    <x:row r="4" ht="58" customHeight="1">
      <x:c r="A4" s="82" t="str">
        <x:v>Gym kuni</x:v>
      </x:c>
      <x:c r="B4" s="85" t="n">
        <x:v>2500</x:v>
      </x:c>
      <x:c r="C4" s="85" t="n">
        <x:v>170</x:v>
      </x:c>
      <x:c r="D4" s="85" t="n">
        <x:v>300</x:v>
      </x:c>
      <x:c r="E4" s="85" t="n">
        <x:v>70</x:v>
      </x:c>
      <x:c r="F4" s="84" t="str">
        <x:v>Shanba — oyoq kuni</x:v>
      </x:c>
      <x:c r="G4" s="84" t="str">
        <x:v>Suli/tuxum + tovuq/kartoshka/salat + mosh/no‘xat + tvorog</x:v>
      </x:c>
      <x:c r="H4" s="84" t="str">
        <x:v>Oyoq kuni energiya ko‘proq kerak; leg press/squatdan oldin ovqat yengil bo‘lsin</x:v>
      </x:c>
    </x:row>
    <x:row r="5" ht="58" customHeight="1">
      <x:c r="A5" s="82" t="str">
        <x:v>Dam / suzish ixtiyoriy</x:v>
      </x:c>
      <x:c r="B5" s="85" t="n">
        <x:v>2350</x:v>
      </x:c>
      <x:c r="C5" s="85" t="n">
        <x:v>170</x:v>
      </x:c>
      <x:c r="D5" s="85" t="n">
        <x:v>255</x:v>
      </x:c>
      <x:c r="E5" s="85" t="n">
        <x:v>70</x:v>
      </x:c>
      <x:c r="F5" s="84" t="str">
        <x:v>Yakshanba yoki dushanba yengil suzish</x:v>
      </x:c>
      <x:c r="G5" s="84" t="str">
        <x:v>Tuxum + grechka/tovuq/salat + qatiq/suzma + meva</x:v>
      </x:c>
      <x:c r="H5" s="84" t="str">
        <x:v>Suvni ko‘proq iching, suzish kuchli bo‘lsa uglevodni +20–30 g oshiring</x:v>
      </x:c>
    </x:row>
    <x:row r="6" ht="58" customHeight="1">
      <x:c r="A6" s="82" t="str">
        <x:v>Upper body kuni</x:v>
      </x:c>
      <x:c r="B6" s="85" t="n">
        <x:v>2400</x:v>
      </x:c>
      <x:c r="C6" s="85" t="n">
        <x:v>170</x:v>
      </x:c>
      <x:c r="D6" s="85" t="n">
        <x:v>270</x:v>
      </x:c>
      <x:c r="E6" s="85" t="n">
        <x:v>70</x:v>
      </x:c>
      <x:c r="F6" s="84" t="str">
        <x:v>Yakshanba upper body tanlansa</x:v>
      </x:c>
      <x:c r="G6" s="84" t="str">
        <x:v>Tuxum/suli + tovuq/guruch + salat + tvorog/suzma</x:v>
      </x:c>
      <x:c r="H6" s="84" t="str">
        <x:v>Yelka va qo‘l charchog‘i bo‘lsa mashq hajmini kamaytiring</x:v>
      </x:c>
    </x:row>
    <x:row r="7" ht="58" customHeight="1">
      <x:c r="A7" s="82" t="str">
        <x:v>Dam kuni</x:v>
      </x:c>
      <x:c r="B7" s="85" t="n">
        <x:v>2200</x:v>
      </x:c>
      <x:c r="C7" s="85" t="n">
        <x:v>170</x:v>
      </x:c>
      <x:c r="D7" s="85" t="n">
        <x:v>210</x:v>
      </x:c>
      <x:c r="E7" s="85" t="n">
        <x:v>75</x:v>
      </x:c>
      <x:c r="F7" s="84" t="str">
        <x:v>Chorshanba, juma, dushanba dam kuni</x:v>
      </x:c>
      <x:c r="G7" s="84" t="str">
        <x:v>Tuxum + tovuq/salat + loviya/no‘xat + tvorog/suzma</x:v>
      </x:c>
      <x:c r="H7" s="84" t="str">
        <x:v>Kaloriya pastroq, lekin oqsil o‘zgarmaydi; sabzavotni ko‘paytiring</x:v>
      </x:c>
    </x:row>
    <x:row r="8" ht="58" customHeight="1">
      <x:c r="A8" s="82" t="str">
        <x:v>Cheat/og‘ish kuni</x:v>
      </x:c>
      <x:c r="B8" s="85" t="n">
        <x:v>2300</x:v>
      </x:c>
      <x:c r="C8" s="85" t="n">
        <x:v>170</x:v>
      </x:c>
      <x:c r="D8" s="85" t="n">
        <x:v>230</x:v>
      </x:c>
      <x:c r="E8" s="85" t="n">
        <x:v>75</x:v>
      </x:c>
      <x:c r="F8" s="84" t="str">
        <x:v>Agar reja buzilib qolsa</x:v>
      </x:c>
      <x:c r="G8" s="84" t="str">
        <x:v>Asosiy prinsip: oqsilni to‘ldiring, yog‘ va shirinlikni nazorat qiling</x:v>
      </x:c>
      <x:c r="H8" s="84" t="str">
        <x:v>Bitta ovqat buzilsa ham butun kunni tashlab yubormang</x:v>
      </x:c>
    </x:row>
    <x:row r="11">
      <x:c r="A11" s="52" t="str">
        <x:v>Kunlik qoida</x:v>
      </x:c>
      <x:c r="B11" s="52" t="str"/>
      <x:c r="C11" s="52" t="str"/>
      <x:c r="D11" s="52" t="str"/>
      <x:c r="E11" s="52" t="str"/>
      <x:c r="F11" s="52" t="str"/>
      <x:c r="G11" s="52" t="str"/>
      <x:c r="H11" s="52" t="str"/>
    </x:row>
    <x:row r="12" ht="34" customHeight="1">
      <x:c r="A12" s="50" t="str">
        <x:v>1</x:v>
      </x:c>
      <x:c r="B12" s="86" t="str">
        <x:v>Har kuni oqsilni 165–175 g atrofida ushlang. Bu mushakni saqlash va forma qilish uchun asosiy shart.</x:v>
      </x:c>
    </x:row>
    <x:row r="13" ht="34" customHeight="1">
      <x:c r="A13" s="50" t="str">
        <x:v>2</x:v>
      </x:c>
      <x:c r="B13" s="86" t="str">
        <x:v>Boks/gym kunlari uglevodni ko‘proq qiling: guruch, grechka, kartoshka, suli, meva.</x:v>
      </x:c>
    </x:row>
    <x:row r="14" ht="34" customHeight="1">
      <x:c r="A14" s="50" t="str">
        <x:v>3</x:v>
      </x:c>
      <x:c r="B14" s="86" t="str">
        <x:v>Dam kunlari kaloriya pasayadi, lekin oqsil pasaymaydi. Sabzavot va suv ko‘payadi.</x:v>
      </x:c>
    </x:row>
    <x:row r="15" ht="34" customHeight="1">
      <x:c r="A15" s="50" t="str">
        <x:v>4</x:v>
      </x:c>
      <x:c r="B15" s="86" t="str">
        <x:v>Kreatin: 5 g/kun. Vazn vaqtincha suv hisobiga ushlanib qolishi mumkin.</x:v>
      </x:c>
    </x:row>
    <x:row r="16" ht="34" customHeight="1">
      <x:c r="A16" s="50" t="str">
        <x:v>5</x:v>
      </x:c>
      <x:c r="B16" s="86" t="str">
        <x:v>Yog‘ni me’yor qiling: qovurishda 1 choy qoshiqdan boshlang, chuqur qovurishni kamaytiring.</x:v>
      </x:c>
    </x:row>
  </x:sheetData>
  <x:mergeCells>
    <x:mergeCell ref="A1:H1"/>
    <x:mergeCell ref="A11:H11"/>
  </x:mergeCells>
  <x:pageMargins left="0.7" right="0.7" top="0.75" bottom="0.75" header="0.3" footer="0.3"/>
  <x:tableParts count="1">
    <x:tablePart xmlns:r="http://schemas.openxmlformats.org/officeDocument/2006/relationships" r:id="R3d87be041d9c47a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6" hidden="0" customWidth="1"/>
  </x:cols>
  <x:sheetData>
    <x:row r="1">
      <x:c r="A1" s="207" t="str">
        <x:v>PORTAL VA EXCEL UCHUN YAGONA BAHOLASH SOZLAMALARI</x:v>
      </x:c>
      <x:c r="B1" s="207"/>
      <x:c r="C1" s="207"/>
    </x:row>
    <x:row r="3">
      <x:c r="A3" s="211" t="str">
        <x:v>Ko‘rsatkich</x:v>
      </x:c>
      <x:c r="B3" s="211" t="str">
        <x:v>Qiymat</x:v>
      </x:c>
      <x:c r="C3" s="211" t="str">
        <x:v>Izoh</x:v>
      </x:c>
    </x:row>
    <x:row r="4">
      <x:c r="A4" s="32" t="str">
        <x:v>Sport/Faollik vazni (%)</x:v>
      </x:c>
      <x:c r="B4" s="32" t="n">
        <x:v>40</x:v>
      </x:c>
      <x:c r="C4" s="32" t="str">
        <x:v>Aktiv kunda sport %, dam/tiklanishda MAX(sport %, qadam %)</x:v>
      </x:c>
    </x:row>
    <x:row r="5">
      <x:c r="A5" s="32" t="str">
        <x:v>Ovqatlanish vazni (%)</x:v>
      </x:c>
      <x:c r="B5" s="32" t="n">
        <x:v>35</x:v>
      </x:c>
      <x:c r="C5" s="32" t="str">
        <x:v>Ovqatlanish rejasiga amal foizi</x:v>
      </x:c>
    </x:row>
    <x:row r="6">
      <x:c r="A6" s="32" t="str">
        <x:v>Uyqu vazni (%)</x:v>
      </x:c>
      <x:c r="B6" s="32" t="n">
        <x:v>15</x:v>
      </x:c>
      <x:c r="C6" s="32" t="str">
        <x:v>Uyqu / maqsad soat</x:v>
      </x:c>
    </x:row>
    <x:row r="7">
      <x:c r="A7" s="32" t="str">
        <x:v>Suv vazni (%)</x:v>
      </x:c>
      <x:c r="B7" s="32" t="n">
        <x:v>10</x:v>
      </x:c>
      <x:c r="C7" s="32" t="str">
        <x:v>Suv / maqsad litr</x:v>
      </x:c>
    </x:row>
    <x:row r="8">
      <x:c r="A8" s="32" t="str">
        <x:v>Suv maqsadi (L)</x:v>
      </x:c>
      <x:c r="B8" s="32" t="n">
        <x:v>3</x:v>
      </x:c>
      <x:c r="C8" s="32" t="str">
        <x:v>Portal defaultSettings.waterGoal bilan bir xil</x:v>
      </x:c>
    </x:row>
    <x:row r="9">
      <x:c r="A9" s="32" t="str">
        <x:v>Uyqu maqsadi (soat)</x:v>
      </x:c>
      <x:c r="B9" s="32" t="n">
        <x:v>7</x:v>
      </x:c>
      <x:c r="C9" s="32" t="str">
        <x:v>Portal defaultSettings.sleepGoal bilan bir xil</x:v>
      </x:c>
    </x:row>
    <x:row r="10">
      <x:c r="A10" s="32" t="str">
        <x:v>Qadam maqsadi</x:v>
      </x:c>
      <x:c r="B10" s="32" t="n">
        <x:v>8000</x:v>
      </x:c>
      <x:c r="C10" s="32" t="str">
        <x:v>Portal defaultSettings.stepsGoal bilan bir xil</x:v>
      </x:c>
    </x:row>
  </x:sheetData>
  <x:mergeCells>
    <x:mergeCell ref="A1:C1"/>
  </x:mergeCells>
  <x:pageMargins left="0.7" right="0.7" top="0.75" bottom="0.75" header="0.3" footer="0.3"/>
</x:worksheet>
</file>